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hul\Desktop\"/>
    </mc:Choice>
  </mc:AlternateContent>
  <xr:revisionPtr revIDLastSave="0" documentId="13_ncr:1_{3615AD18-128F-4B50-BC62-5BB5CBD2E619}" xr6:coauthVersionLast="45" xr6:coauthVersionMax="45" xr10:uidLastSave="{00000000-0000-0000-0000-000000000000}"/>
  <bookViews>
    <workbookView xWindow="-108" yWindow="-108" windowWidth="23256" windowHeight="12576" firstSheet="2" activeTab="7" xr2:uid="{805124C1-EF1A-49EC-BA67-7F17BE8E51E2}"/>
  </bookViews>
  <sheets>
    <sheet name="Sheet1" sheetId="1" r:id="rId1"/>
    <sheet name="Sheet2" sheetId="2" r:id="rId2"/>
    <sheet name="Date &amp; Time" sheetId="3" r:id="rId3"/>
    <sheet name="Calendar" sheetId="4" r:id="rId4"/>
    <sheet name="Text Functions" sheetId="5" r:id="rId5"/>
    <sheet name="Text &amp; Date &amp; Time" sheetId="6" r:id="rId6"/>
    <sheet name="Gainers" sheetId="8" r:id="rId7"/>
    <sheet name="Losers" sheetId="9" r:id="rId8"/>
    <sheet name="Sheet3" sheetId="7" r:id="rId9"/>
  </sheets>
  <definedNames>
    <definedName name="ExternalData_1" localSheetId="6" hidden="1">Gainers!$A$1:$E$1751</definedName>
    <definedName name="ExternalData_1" localSheetId="7" hidden="1">Losers!$A$1:$E$924</definedName>
    <definedName name="_xlnm.Print_Area" localSheetId="5">'Text &amp; Date &amp; Time'!$A$1:$C$11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5" l="1"/>
  <c r="C19" i="5"/>
  <c r="B9" i="6" l="1"/>
  <c r="E7" i="6"/>
  <c r="C9" i="6"/>
  <c r="A9" i="6"/>
  <c r="E17" i="5" l="1"/>
  <c r="E16" i="5"/>
  <c r="E15" i="5"/>
  <c r="C16" i="5"/>
  <c r="C17" i="5"/>
  <c r="D15" i="5"/>
  <c r="D16" i="5"/>
  <c r="D17" i="5"/>
  <c r="B15" i="5"/>
  <c r="B16" i="5"/>
  <c r="B17" i="5"/>
  <c r="F8" i="5"/>
  <c r="F9" i="5"/>
  <c r="F7" i="5"/>
  <c r="E7" i="5"/>
  <c r="E8" i="5"/>
  <c r="E9" i="5"/>
  <c r="D8" i="5"/>
  <c r="D9" i="5"/>
  <c r="D7" i="5"/>
  <c r="C8" i="5"/>
  <c r="C9" i="5"/>
  <c r="C7" i="5"/>
  <c r="B8" i="5"/>
  <c r="B9" i="5"/>
  <c r="B7" i="5"/>
  <c r="G3" i="5"/>
  <c r="G4" i="5"/>
  <c r="G2" i="5"/>
  <c r="F3" i="5"/>
  <c r="F4" i="5"/>
  <c r="F2" i="5"/>
  <c r="E3" i="5"/>
  <c r="E4" i="5"/>
  <c r="E2" i="5"/>
  <c r="D3" i="5"/>
  <c r="D4" i="5"/>
  <c r="D2" i="5"/>
  <c r="C3" i="5"/>
  <c r="C4" i="5"/>
  <c r="C2" i="5"/>
  <c r="B3" i="5"/>
  <c r="B4" i="5"/>
  <c r="B2" i="5"/>
  <c r="E8" i="4"/>
  <c r="E2" i="4"/>
  <c r="E4" i="4"/>
  <c r="F4" i="4" s="1"/>
  <c r="G4" i="4" s="1"/>
  <c r="H4" i="4" s="1"/>
  <c r="C3" i="4"/>
  <c r="B42" i="3"/>
  <c r="B40" i="3"/>
  <c r="B37" i="3"/>
  <c r="B35" i="3"/>
  <c r="B22" i="3"/>
  <c r="B24" i="3" s="1"/>
  <c r="I4" i="4" l="1"/>
  <c r="J4" i="4" s="1"/>
  <c r="K4" i="4" s="1"/>
  <c r="E5" i="4" s="1"/>
  <c r="F5" i="4" s="1"/>
  <c r="G5" i="4" s="1"/>
  <c r="H5" i="4" s="1"/>
  <c r="I5" i="4" s="1"/>
  <c r="J5" i="4" s="1"/>
  <c r="K5" i="4" s="1"/>
  <c r="E6" i="4" s="1"/>
  <c r="F6" i="4" s="1"/>
  <c r="G6" i="4" s="1"/>
  <c r="H6" i="4" s="1"/>
  <c r="I6" i="4" s="1"/>
  <c r="J6" i="4" s="1"/>
  <c r="K6" i="4" s="1"/>
  <c r="E7" i="4" s="1"/>
  <c r="F7" i="4" s="1"/>
  <c r="G7" i="4" s="1"/>
  <c r="H7" i="4" s="1"/>
  <c r="I7" i="4" s="1"/>
  <c r="J7" i="4" s="1"/>
  <c r="K7" i="4" s="1"/>
  <c r="F8" i="4" s="1"/>
  <c r="G8" i="4" s="1"/>
  <c r="H8" i="4" s="1"/>
  <c r="I8" i="4" s="1"/>
  <c r="J8" i="4" s="1"/>
  <c r="K8" i="4" s="1"/>
  <c r="E9" i="4" s="1"/>
  <c r="F9" i="4" s="1"/>
  <c r="G9" i="4" s="1"/>
  <c r="H9" i="4" s="1"/>
  <c r="I9" i="4" s="1"/>
  <c r="J9" i="4" s="1"/>
  <c r="K9" i="4" s="1"/>
  <c r="B29" i="3"/>
  <c r="B28" i="3"/>
  <c r="B27" i="3"/>
  <c r="B26" i="3"/>
  <c r="B25" i="3"/>
  <c r="B12" i="3"/>
  <c r="C12" i="3" s="1"/>
  <c r="B11" i="3"/>
  <c r="B8" i="3"/>
  <c r="B4" i="3"/>
  <c r="B6" i="3" s="1"/>
  <c r="B3" i="3"/>
  <c r="B13" i="3" s="1"/>
  <c r="O17" i="1"/>
  <c r="O12" i="1"/>
  <c r="O13" i="1"/>
  <c r="O14" i="1"/>
  <c r="O15" i="1"/>
  <c r="O9" i="1"/>
  <c r="O8" i="1"/>
  <c r="O7" i="1"/>
  <c r="O6" i="1"/>
  <c r="O5" i="1"/>
  <c r="L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5" i="1"/>
  <c r="L6" i="1"/>
  <c r="L7" i="1"/>
  <c r="L8" i="1"/>
  <c r="L9" i="1"/>
  <c r="L10" i="1"/>
  <c r="L11" i="1"/>
  <c r="L12" i="1"/>
  <c r="L13" i="1"/>
  <c r="L14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4" i="1"/>
  <c r="I6" i="1"/>
  <c r="I7" i="1"/>
  <c r="I8" i="1"/>
  <c r="I10" i="1"/>
  <c r="I11" i="1"/>
  <c r="I15" i="1"/>
  <c r="I17" i="1"/>
  <c r="I19" i="1"/>
  <c r="I21" i="1"/>
  <c r="I25" i="1"/>
  <c r="I27" i="1"/>
  <c r="I28" i="1"/>
  <c r="I4" i="1"/>
  <c r="H5" i="1"/>
  <c r="I5" i="1" s="1"/>
  <c r="H6" i="1"/>
  <c r="H7" i="1"/>
  <c r="H8" i="1"/>
  <c r="H9" i="1"/>
  <c r="I9" i="1" s="1"/>
  <c r="H10" i="1"/>
  <c r="H11" i="1"/>
  <c r="H12" i="1"/>
  <c r="I12" i="1" s="1"/>
  <c r="H13" i="1"/>
  <c r="I13" i="1" s="1"/>
  <c r="H14" i="1"/>
  <c r="I14" i="1" s="1"/>
  <c r="H15" i="1"/>
  <c r="H16" i="1"/>
  <c r="I16" i="1" s="1"/>
  <c r="H17" i="1"/>
  <c r="H18" i="1"/>
  <c r="I18" i="1" s="1"/>
  <c r="H19" i="1"/>
  <c r="H20" i="1"/>
  <c r="I20" i="1" s="1"/>
  <c r="H21" i="1"/>
  <c r="H22" i="1"/>
  <c r="I22" i="1" s="1"/>
  <c r="H23" i="1"/>
  <c r="I23" i="1" s="1"/>
  <c r="H24" i="1"/>
  <c r="I24" i="1" s="1"/>
  <c r="H25" i="1"/>
  <c r="H26" i="1"/>
  <c r="I26" i="1" s="1"/>
  <c r="H27" i="1"/>
  <c r="H28" i="1"/>
  <c r="H29" i="1"/>
  <c r="I29" i="1" s="1"/>
  <c r="H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4" i="1"/>
  <c r="B14" i="3" l="1"/>
  <c r="B18" i="3" s="1"/>
  <c r="B7" i="3"/>
  <c r="B9" i="3" s="1"/>
  <c r="B16" i="3" l="1"/>
  <c r="B1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Rahul</author>
  </authors>
  <commentList>
    <comment ref="F1" authorId="0" shapeId="0" xr:uid="{A8D0523B-8FD3-4158-9BA8-F4F0838FFDF0}">
      <text>
        <r>
          <rPr>
            <b/>
            <sz val="9"/>
            <color indexed="81"/>
            <rFont val="Tahoma"/>
            <family val="2"/>
          </rPr>
          <t>Select User Name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87400D-88AD-43BF-8B5E-744B3147E699}" keepAlive="1" interval="5" name="Query - Table 0" description="Connection to the 'Table 0' query in the workbook." type="5" refreshedVersion="6" background="1" saveData="1">
    <dbPr connection="Provider=Microsoft.Mashup.OleDb.1;Data Source=$Workbook$;Location=Table 0;Extended Properties=&quot;&quot;" command="SELECT * FROM [Table 0]"/>
  </connection>
  <connection id="2" xr16:uid="{D5ADF831-518C-4DCA-BD60-D9BB21EEE50A}" keepAlive="1" interval="5" name="Query - Table 0 (2)" description="Connection to the 'Table 0 (2)' query in the workbook." type="5" refreshedVersion="6" background="1" saveData="1">
    <dbPr connection="Provider=Microsoft.Mashup.OleDb.1;Data Source=$Workbook$;Location=Table 0 (2);Extended Properties=&quot;&quot;" command="SELECT * FROM [Table 0 (2)]"/>
  </connection>
</connections>
</file>

<file path=xl/sharedStrings.xml><?xml version="1.0" encoding="utf-8"?>
<sst xmlns="http://schemas.openxmlformats.org/spreadsheetml/2006/main" count="7313" uniqueCount="3386">
  <si>
    <t>Name</t>
  </si>
  <si>
    <t>Sub 1</t>
  </si>
  <si>
    <t>Sub 2</t>
  </si>
  <si>
    <t>Sub 3</t>
  </si>
  <si>
    <t>Sub 4</t>
  </si>
  <si>
    <t>Sub 5</t>
  </si>
  <si>
    <t>Total</t>
  </si>
  <si>
    <t>Percantage</t>
  </si>
  <si>
    <t>Status</t>
  </si>
  <si>
    <t>Grades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</si>
  <si>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</si>
  <si>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</si>
  <si>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</si>
  <si>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</si>
  <si>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</si>
  <si>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</si>
  <si>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</si>
  <si>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</si>
  <si>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</si>
  <si>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</si>
  <si>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</si>
  <si>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</si>
  <si>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</si>
  <si>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</si>
  <si>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</si>
  <si>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</si>
  <si>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</si>
  <si>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</si>
  <si>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</si>
  <si>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</si>
  <si>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</si>
  <si>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</si>
  <si>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</si>
  <si>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</si>
  <si>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</si>
  <si>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</si>
  <si>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=RANDBETWEEN(bottom,top)</t>
  </si>
  <si>
    <t>Ctrl + r</t>
  </si>
  <si>
    <t xml:space="preserve">Fill Right </t>
  </si>
  <si>
    <t>Ctrl + d</t>
  </si>
  <si>
    <t>Fill down</t>
  </si>
  <si>
    <t>=IF(logical_test,[value_if_true],[value_if_false])</t>
  </si>
  <si>
    <t>if student got 50% or above in each subject then Pass else Fail</t>
  </si>
  <si>
    <t>or</t>
  </si>
  <si>
    <t>and</t>
  </si>
  <si>
    <t>=OR(logical1,[logical2],….)</t>
  </si>
  <si>
    <t>=AND(logical1,[logical2],….)</t>
  </si>
  <si>
    <t>If any of the logic is true, it returns true, if all logics are false, then only it returns false</t>
  </si>
  <si>
    <t>if all the logics are true, it returns true, if any of the logic is false, it returns false</t>
  </si>
  <si>
    <t>Status1</t>
  </si>
  <si>
    <t>If student is Pass, then</t>
  </si>
  <si>
    <t>80% or Above</t>
  </si>
  <si>
    <t>A+</t>
  </si>
  <si>
    <t>70% or Above</t>
  </si>
  <si>
    <t>60% or Above</t>
  </si>
  <si>
    <t>B+</t>
  </si>
  <si>
    <t>50% or above</t>
  </si>
  <si>
    <t>If Fail</t>
  </si>
  <si>
    <t>No Grades</t>
  </si>
  <si>
    <t>Rank</t>
  </si>
  <si>
    <t>Freeze</t>
  </si>
  <si>
    <t>F4</t>
  </si>
  <si>
    <t>Maximum Percentage</t>
  </si>
  <si>
    <t>2nd Highest Percentage</t>
  </si>
  <si>
    <t>2nd Lowest Percentage</t>
  </si>
  <si>
    <t>Total Students</t>
  </si>
  <si>
    <t>Grades Count</t>
  </si>
  <si>
    <t>Minimum Percentage</t>
  </si>
  <si>
    <t>Ctrl + `</t>
  </si>
  <si>
    <t>Show Formula/Values</t>
  </si>
  <si>
    <t>Student Name</t>
  </si>
  <si>
    <t>Date &amp; Time</t>
  </si>
  <si>
    <t>Dynamic</t>
  </si>
  <si>
    <t>Static</t>
  </si>
  <si>
    <t>Date</t>
  </si>
  <si>
    <t>=TODAY()</t>
  </si>
  <si>
    <t>Ctrl + ;</t>
  </si>
  <si>
    <t>=NOW()</t>
  </si>
  <si>
    <t>Ctrl + :</t>
  </si>
  <si>
    <t>Hour</t>
  </si>
  <si>
    <t>Minute</t>
  </si>
  <si>
    <t>Seconds</t>
  </si>
  <si>
    <t>Time</t>
  </si>
  <si>
    <t>=MINUTE(TIME)</t>
  </si>
  <si>
    <t>=HOUR(TIME)</t>
  </si>
  <si>
    <t>=SECOND(TIME)</t>
  </si>
  <si>
    <t>=TIME(HOUR,MINUTE,SECOND)</t>
  </si>
  <si>
    <t>Day of the Month</t>
  </si>
  <si>
    <t>Month</t>
  </si>
  <si>
    <t>Year</t>
  </si>
  <si>
    <t>=DAY(date)</t>
  </si>
  <si>
    <t>=MONTH(DATE)</t>
  </si>
  <si>
    <t>=YEAR(DATE)</t>
  </si>
  <si>
    <t>=DATE(YEAR,MONTH,DAY)</t>
  </si>
  <si>
    <t>Weekday</t>
  </si>
  <si>
    <t>Weeknum</t>
  </si>
  <si>
    <t>End of Month Date</t>
  </si>
  <si>
    <t>=WEEKDAY(DATE,[return_type])</t>
  </si>
  <si>
    <t>=WEEKNUM(DATE,[return_type])</t>
  </si>
  <si>
    <t>=EOMONTH(start_date,months)</t>
  </si>
  <si>
    <t>Date Difference</t>
  </si>
  <si>
    <t>=datedif(start_date,end_date,"options")</t>
  </si>
  <si>
    <t>Options:</t>
  </si>
  <si>
    <t>Months</t>
  </si>
  <si>
    <t>Days</t>
  </si>
  <si>
    <t>Year's Month</t>
  </si>
  <si>
    <t>Month's Days</t>
  </si>
  <si>
    <t>Year's Days</t>
  </si>
  <si>
    <t>"y"</t>
  </si>
  <si>
    <t>"m"</t>
  </si>
  <si>
    <t>"d"</t>
  </si>
  <si>
    <t>"ym"</t>
  </si>
  <si>
    <t>"md"</t>
  </si>
  <si>
    <t>"yd"</t>
  </si>
  <si>
    <t>Start Date</t>
  </si>
  <si>
    <t>Today's Date</t>
  </si>
  <si>
    <t>Project Start Date</t>
  </si>
  <si>
    <t>No. of Days assigned</t>
  </si>
  <si>
    <t>Sunday will be the only weekend</t>
  </si>
  <si>
    <t>Holidays</t>
  </si>
  <si>
    <t>Est Date on for Project Completion</t>
  </si>
  <si>
    <t>Saturday and Sunday as Weekend</t>
  </si>
  <si>
    <t>=WORKDAY.INTL(start_date,days,[weekend],[holidays])</t>
  </si>
  <si>
    <t>=WORKDAY(start_date,days,[holidays])</t>
  </si>
  <si>
    <t>Project Submission</t>
  </si>
  <si>
    <t>Days took to submit</t>
  </si>
  <si>
    <t>=NETWORKDAYS(start_date,end_date,[holidays])</t>
  </si>
  <si>
    <t>=NETWORKDAYS(start_date,end_date,[weekend],[holidays])</t>
  </si>
  <si>
    <t>Sunday</t>
  </si>
  <si>
    <t>Monday</t>
  </si>
  <si>
    <t>Tuesday</t>
  </si>
  <si>
    <t>Wednesday</t>
  </si>
  <si>
    <t>Thursday</t>
  </si>
  <si>
    <t>Friday</t>
  </si>
  <si>
    <t>Saturday</t>
  </si>
  <si>
    <t xml:space="preserve"> Vijay ahluwalia </t>
  </si>
  <si>
    <t xml:space="preserve">siddhant  singh vats </t>
  </si>
  <si>
    <t>Len of Name</t>
  </si>
  <si>
    <t xml:space="preserve">sultan  ahmad  khan </t>
  </si>
  <si>
    <t>Name without extra spaces</t>
  </si>
  <si>
    <t>Upper</t>
  </si>
  <si>
    <t>Proper</t>
  </si>
  <si>
    <t>Lower</t>
  </si>
  <si>
    <t>Vijay Ahluwalia</t>
  </si>
  <si>
    <t>Siddhant Singh Vats</t>
  </si>
  <si>
    <t>Sultan Ahmad Khan</t>
  </si>
  <si>
    <t>Left</t>
  </si>
  <si>
    <t>Right</t>
  </si>
  <si>
    <t>Find/Search</t>
  </si>
  <si>
    <t>Mid</t>
  </si>
  <si>
    <t>Substitute</t>
  </si>
  <si>
    <t>=LEFT(TEXT,[num_chars])</t>
  </si>
  <si>
    <t>=RIGHT(TEXT,[num_chars])</t>
  </si>
  <si>
    <t>=FIND(find_text,with_in_text,[start_no])</t>
  </si>
  <si>
    <t>=MID(text,start_num,num_chars)</t>
  </si>
  <si>
    <t>=SUBSTITUTE(text,old_text,new_text,[instance_num])</t>
  </si>
  <si>
    <t>First Name</t>
  </si>
  <si>
    <t>Mid Name</t>
  </si>
  <si>
    <t>Last Name</t>
  </si>
  <si>
    <t>Full Name</t>
  </si>
  <si>
    <t>Employee Age Calculation</t>
  </si>
  <si>
    <r>
      <t>Name</t>
    </r>
    <r>
      <rPr>
        <b/>
        <sz val="12"/>
        <color rgb="FFFF0000"/>
        <rFont val="Calibri"/>
        <family val="2"/>
        <scheme val="minor"/>
      </rPr>
      <t>*</t>
    </r>
  </si>
  <si>
    <r>
      <t>Date of Birth</t>
    </r>
    <r>
      <rPr>
        <b/>
        <sz val="12"/>
        <color rgb="FFFF0000"/>
        <rFont val="Calibri"/>
        <family val="2"/>
        <scheme val="minor"/>
      </rPr>
      <t>*</t>
    </r>
  </si>
  <si>
    <t>Vidhyawati Sinha</t>
  </si>
  <si>
    <t>Company</t>
  </si>
  <si>
    <t>Group</t>
  </si>
  <si>
    <t>Prev Close (Rs)</t>
  </si>
  <si>
    <t>Current Price (Rs)</t>
  </si>
  <si>
    <t>% Change</t>
  </si>
  <si>
    <t>AKM Lace and Embrote</t>
  </si>
  <si>
    <t>+ 19.79</t>
  </si>
  <si>
    <t>Sakuma Exports</t>
  </si>
  <si>
    <t>HSIL Ltd.</t>
  </si>
  <si>
    <t>Indian Bank</t>
  </si>
  <si>
    <t>Panama Petrochem</t>
  </si>
  <si>
    <t>Thermax</t>
  </si>
  <si>
    <t>Khaitan Chemical</t>
  </si>
  <si>
    <t>+ 14.55</t>
  </si>
  <si>
    <t>Nahar Capital &amp; Fina</t>
  </si>
  <si>
    <t>+ 13.82</t>
  </si>
  <si>
    <t>Prince Pipes &amp; Fitti</t>
  </si>
  <si>
    <t>Signet Industries</t>
  </si>
  <si>
    <t>N G Industries Ltd.</t>
  </si>
  <si>
    <t>+ 12.04</t>
  </si>
  <si>
    <t>Home First Finance</t>
  </si>
  <si>
    <t>Faze Three Ltd.</t>
  </si>
  <si>
    <t>+ 10.31</t>
  </si>
  <si>
    <t>De Nora India Ltd.</t>
  </si>
  <si>
    <t>Pix Transmission</t>
  </si>
  <si>
    <t>Purshottam Investofi</t>
  </si>
  <si>
    <t>+ 10.00</t>
  </si>
  <si>
    <t>Somany Home Innovat</t>
  </si>
  <si>
    <t>+ 9.99</t>
  </si>
  <si>
    <t>Gujarat Natural Res</t>
  </si>
  <si>
    <t>+ 9.96</t>
  </si>
  <si>
    <t>WEP Solutions</t>
  </si>
  <si>
    <t>+ 9.95</t>
  </si>
  <si>
    <t>Hind. Copper</t>
  </si>
  <si>
    <t>+ 9.94</t>
  </si>
  <si>
    <t>P&amp;G Hygiene&amp;Health</t>
  </si>
  <si>
    <t>TeamLease Service</t>
  </si>
  <si>
    <t>+ 9.41</t>
  </si>
  <si>
    <t>Tasty Bite</t>
  </si>
  <si>
    <t>Eros International M</t>
  </si>
  <si>
    <t>Kaira Can Co.</t>
  </si>
  <si>
    <t>+ 9.07</t>
  </si>
  <si>
    <t>TCPL Packaging</t>
  </si>
  <si>
    <t>+ 8.85</t>
  </si>
  <si>
    <t>Sarla Performance Fi</t>
  </si>
  <si>
    <t>+ 8.84</t>
  </si>
  <si>
    <t>Asian Granito India</t>
  </si>
  <si>
    <t>Arambhan Hospitality</t>
  </si>
  <si>
    <t>+ 8.45</t>
  </si>
  <si>
    <t>Gautam Exim</t>
  </si>
  <si>
    <t>+ 8.39</t>
  </si>
  <si>
    <t>Mangalam Drugs</t>
  </si>
  <si>
    <t>+ 8.30</t>
  </si>
  <si>
    <t>Sharda Motor Ind</t>
  </si>
  <si>
    <t>+ 8.13</t>
  </si>
  <si>
    <t>Jubilant Foodworks L</t>
  </si>
  <si>
    <t>Likhitha Infrastruct</t>
  </si>
  <si>
    <t>Zenlabs Ethica</t>
  </si>
  <si>
    <t>+ 7.74</t>
  </si>
  <si>
    <t>Bharat Bijlee</t>
  </si>
  <si>
    <t>Tirupati Sarjan</t>
  </si>
  <si>
    <t>HIL</t>
  </si>
  <si>
    <t>Adani Enterprises Lt</t>
  </si>
  <si>
    <t>Religare Enterprises</t>
  </si>
  <si>
    <t>Renaissance Global</t>
  </si>
  <si>
    <t>+ 7.53</t>
  </si>
  <si>
    <t>Chambal Fertilis</t>
  </si>
  <si>
    <t>Mangalore Chem.</t>
  </si>
  <si>
    <t>Jindal Hotels</t>
  </si>
  <si>
    <t>+ 7.35</t>
  </si>
  <si>
    <t>Valson Ind. Ltd.</t>
  </si>
  <si>
    <t>+ 7.33</t>
  </si>
  <si>
    <t>Duncan Engineering</t>
  </si>
  <si>
    <t>+ 7.25</t>
  </si>
  <si>
    <t>Gateway Distriparks</t>
  </si>
  <si>
    <t>Finolex Industri</t>
  </si>
  <si>
    <t>Quess Corp</t>
  </si>
  <si>
    <t>+ 7.01</t>
  </si>
  <si>
    <t>Apollo Tyres</t>
  </si>
  <si>
    <t>SKF India</t>
  </si>
  <si>
    <t>Indian Metal &amp; F</t>
  </si>
  <si>
    <t>Butterfly Gandhima</t>
  </si>
  <si>
    <t>Shankara Building Pr</t>
  </si>
  <si>
    <t>Bajaj Consumer Care</t>
  </si>
  <si>
    <t>National Fittings</t>
  </si>
  <si>
    <t>+ 6.61</t>
  </si>
  <si>
    <t>KNR Constructions</t>
  </si>
  <si>
    <t>Firstsource Solution</t>
  </si>
  <si>
    <t>Innovassynth Investm</t>
  </si>
  <si>
    <t>+ 6.49</t>
  </si>
  <si>
    <t>Bajaj Steel Ind.</t>
  </si>
  <si>
    <t>+ 6.45</t>
  </si>
  <si>
    <t>DLF Ltd.</t>
  </si>
  <si>
    <t>BLS International Se</t>
  </si>
  <si>
    <t>+ 6.38</t>
  </si>
  <si>
    <t>Texmaco Infrastructu</t>
  </si>
  <si>
    <t>TVS Srichakra Lt</t>
  </si>
  <si>
    <t>+ 6.32</t>
  </si>
  <si>
    <t>Jayant Agro Org</t>
  </si>
  <si>
    <t>+ 6.14</t>
  </si>
  <si>
    <t>Dhunseri Ventures</t>
  </si>
  <si>
    <t>Karur Vysya Bank</t>
  </si>
  <si>
    <t>Krypton Ind.</t>
  </si>
  <si>
    <t>+ 5.99</t>
  </si>
  <si>
    <t>Xtglobal Infotech</t>
  </si>
  <si>
    <t>Damodar Industries</t>
  </si>
  <si>
    <t>+ 5.97</t>
  </si>
  <si>
    <t>Guj. Mineral Dev</t>
  </si>
  <si>
    <t>PSP Projects</t>
  </si>
  <si>
    <t>Manappuram Finance</t>
  </si>
  <si>
    <t>JK Tyre &amp; Industries</t>
  </si>
  <si>
    <t>+ 5.76</t>
  </si>
  <si>
    <t>Shilp Gravures L</t>
  </si>
  <si>
    <t>+ 5.75</t>
  </si>
  <si>
    <t>FIEM Industries</t>
  </si>
  <si>
    <t>KCP Ltd.</t>
  </si>
  <si>
    <t>+ 5.71</t>
  </si>
  <si>
    <t>Triveni Eng.&amp;Ind.Ltd</t>
  </si>
  <si>
    <t>Savita Oil Tech</t>
  </si>
  <si>
    <t>+ 5.55</t>
  </si>
  <si>
    <t>Gokul Refoils &amp; Solv</t>
  </si>
  <si>
    <t>+ 5.54</t>
  </si>
  <si>
    <t>Polychem</t>
  </si>
  <si>
    <t>Bank of Maharash</t>
  </si>
  <si>
    <t>PTC Industries</t>
  </si>
  <si>
    <t>+ 5.49</t>
  </si>
  <si>
    <t>Astral Poly Technik</t>
  </si>
  <si>
    <t>India Glycols</t>
  </si>
  <si>
    <t>+ 5.44</t>
  </si>
  <si>
    <t>Infibeam Avenues</t>
  </si>
  <si>
    <t>Goldstone Tech</t>
  </si>
  <si>
    <t>+ 5.43</t>
  </si>
  <si>
    <t>Onward Technolog</t>
  </si>
  <si>
    <t>+ 5.41</t>
  </si>
  <si>
    <t>Datamatics Global Se</t>
  </si>
  <si>
    <t>+ 5.38</t>
  </si>
  <si>
    <t>GSFC</t>
  </si>
  <si>
    <t>ABB India</t>
  </si>
  <si>
    <t>Morganite Crucible (</t>
  </si>
  <si>
    <t>+ 5.32</t>
  </si>
  <si>
    <t>Electrosteel Cas</t>
  </si>
  <si>
    <t>Samkrg Pistons &amp; Rin</t>
  </si>
  <si>
    <t>Transcorp Inter</t>
  </si>
  <si>
    <t>+ 5.29</t>
  </si>
  <si>
    <t>Vipul Organics</t>
  </si>
  <si>
    <t>G M Polyplast</t>
  </si>
  <si>
    <t>+ 5.24</t>
  </si>
  <si>
    <t>GOCL Corporation</t>
  </si>
  <si>
    <t>+ 5.20</t>
  </si>
  <si>
    <t>Kirloskar Oil Engine</t>
  </si>
  <si>
    <t>BCL Industries</t>
  </si>
  <si>
    <t>+ 5.13</t>
  </si>
  <si>
    <t>Tata Power Co.</t>
  </si>
  <si>
    <t>RPP Infra Projects L</t>
  </si>
  <si>
    <t>Rane (Madras)</t>
  </si>
  <si>
    <t>+ 5.09</t>
  </si>
  <si>
    <t>Prakash Pipes</t>
  </si>
  <si>
    <t>Hercules Hoists</t>
  </si>
  <si>
    <t>+ 5.08</t>
  </si>
  <si>
    <t>Blueblood Ventures L</t>
  </si>
  <si>
    <t>ONGC</t>
  </si>
  <si>
    <t>+ 5.04</t>
  </si>
  <si>
    <t>Mahamaya Steel Indus</t>
  </si>
  <si>
    <t>Modern Converters</t>
  </si>
  <si>
    <t>XT</t>
  </si>
  <si>
    <t>+ 5.00</t>
  </si>
  <si>
    <t>Vistar Amar</t>
  </si>
  <si>
    <t>JR Foods Ltd</t>
  </si>
  <si>
    <t>Balu Forge Industrie</t>
  </si>
  <si>
    <t>Baroda Extrusion</t>
  </si>
  <si>
    <t>EPIC Energy Ltd.</t>
  </si>
  <si>
    <t>SKP Securities</t>
  </si>
  <si>
    <t>KJMC Financial Serv.</t>
  </si>
  <si>
    <t>Tejas Networks</t>
  </si>
  <si>
    <t>Goldcrest Corp</t>
  </si>
  <si>
    <t>Sybly Industries Ltd</t>
  </si>
  <si>
    <t>SGN Telecoms Ltd.</t>
  </si>
  <si>
    <t>Ruchi Soya Inds.</t>
  </si>
  <si>
    <t>Palred Technologies</t>
  </si>
  <si>
    <t>InformedTechnologies</t>
  </si>
  <si>
    <t>Nagarjuna Fertilizer</t>
  </si>
  <si>
    <t>India Lease</t>
  </si>
  <si>
    <t>Siddha Ventures Ltd.</t>
  </si>
  <si>
    <t>Panache Innovations</t>
  </si>
  <si>
    <t>Olectra Greentech</t>
  </si>
  <si>
    <t>Rishi Laser Ltd.</t>
  </si>
  <si>
    <t>Netlink Solutions (I</t>
  </si>
  <si>
    <t>Vision Cinemas L</t>
  </si>
  <si>
    <t>Guj. Craft Indus</t>
  </si>
  <si>
    <t>SPEL Semiconduct</t>
  </si>
  <si>
    <t>Reliance Infrastruct</t>
  </si>
  <si>
    <t>The Phosphate Co.</t>
  </si>
  <si>
    <t>Devki Leasing &amp;</t>
  </si>
  <si>
    <t>Hind. Flurocarbo</t>
  </si>
  <si>
    <t>Aarti Surfactants</t>
  </si>
  <si>
    <t>Axel Polymers Li</t>
  </si>
  <si>
    <t>Simran Farms Lim</t>
  </si>
  <si>
    <t>+ 4.99</t>
  </si>
  <si>
    <t>AGC Networks</t>
  </si>
  <si>
    <t>OnMobile Global Ltd.</t>
  </si>
  <si>
    <t>Intellect Design</t>
  </si>
  <si>
    <t>Makers Lab.</t>
  </si>
  <si>
    <t>Pokarna Ltd.</t>
  </si>
  <si>
    <t>Tata Teleservices (M</t>
  </si>
  <si>
    <t>Anik Industries</t>
  </si>
  <si>
    <t>B L Kashyap &amp; Sons</t>
  </si>
  <si>
    <t>TCFC Finance Ltd</t>
  </si>
  <si>
    <t>Orchid Pharma</t>
  </si>
  <si>
    <t>Rushil Decor Ltd.</t>
  </si>
  <si>
    <t>Aditya Ispat</t>
  </si>
  <si>
    <t>Enterprise Inter</t>
  </si>
  <si>
    <t>Thomas Cook (I)</t>
  </si>
  <si>
    <t>TVS Electronics</t>
  </si>
  <si>
    <t>Shakti Pumps (In</t>
  </si>
  <si>
    <t>Remedium Lifecare</t>
  </si>
  <si>
    <t>Deepak Spinners</t>
  </si>
  <si>
    <t>Raj Oil Mills Ltd.</t>
  </si>
  <si>
    <t>Parvati Sweetners</t>
  </si>
  <si>
    <t>+ 4.98</t>
  </si>
  <si>
    <t>Guj. Raffia Indu</t>
  </si>
  <si>
    <t>Shardul Securities L</t>
  </si>
  <si>
    <t>Manaksia Coated Meta</t>
  </si>
  <si>
    <t>Elegant Marbles</t>
  </si>
  <si>
    <t>Everest Kanto Cylind</t>
  </si>
  <si>
    <t>PG Electroplast Ltd.</t>
  </si>
  <si>
    <t>Modern India</t>
  </si>
  <si>
    <t>Madhusudan Indus</t>
  </si>
  <si>
    <t>Goa Carbons</t>
  </si>
  <si>
    <t>Pacific Industri</t>
  </si>
  <si>
    <t>Birla Tyres</t>
  </si>
  <si>
    <t>Hemisphere Propertie</t>
  </si>
  <si>
    <t>Uttam Galva Steels</t>
  </si>
  <si>
    <t>Yaarii Digital Integ</t>
  </si>
  <si>
    <t>Daikaffil Chemic</t>
  </si>
  <si>
    <t>JBF Industries</t>
  </si>
  <si>
    <t>Kriti Industries</t>
  </si>
  <si>
    <t>+ 4.97</t>
  </si>
  <si>
    <t>DiGiSPICE Technologi</t>
  </si>
  <si>
    <t>Kanoria Chemical</t>
  </si>
  <si>
    <t>Salona Cotspin L</t>
  </si>
  <si>
    <t>Nahar Indust.Ent</t>
  </si>
  <si>
    <t>Polymechplast Ma</t>
  </si>
  <si>
    <t>Inflame Appliances</t>
  </si>
  <si>
    <t>Nahar Spg Mills</t>
  </si>
  <si>
    <t>Kreon Financial Serv</t>
  </si>
  <si>
    <t>VirtualSoft Systems</t>
  </si>
  <si>
    <t>Raasi Refrac.</t>
  </si>
  <si>
    <t>+ 4.96</t>
  </si>
  <si>
    <t>Garware Marine</t>
  </si>
  <si>
    <t>Mathew Easow Res</t>
  </si>
  <si>
    <t>Aditya Vision</t>
  </si>
  <si>
    <t>V2 Retail</t>
  </si>
  <si>
    <t>Gujarat Poly Electro</t>
  </si>
  <si>
    <t>Reliance Naval</t>
  </si>
  <si>
    <t>Rishiroop L</t>
  </si>
  <si>
    <t>Jet Airways</t>
  </si>
  <si>
    <t>Apoorva Leasing Fina</t>
  </si>
  <si>
    <t>Biofil Chemicals</t>
  </si>
  <si>
    <t>Trigyn Technolog</t>
  </si>
  <si>
    <t>Ucal Fuel System</t>
  </si>
  <si>
    <t>+ 4.95</t>
  </si>
  <si>
    <t>Ashish Polyplast</t>
  </si>
  <si>
    <t>Energy Developme</t>
  </si>
  <si>
    <t>Moneyboxx Finance</t>
  </si>
  <si>
    <t>I P Rings Ltd.</t>
  </si>
  <si>
    <t>Indian Railway Fin</t>
  </si>
  <si>
    <t>Ashok Alco-Chem</t>
  </si>
  <si>
    <t>Setco Automotive</t>
  </si>
  <si>
    <t>Adinath Textile</t>
  </si>
  <si>
    <t>CJ Gelatine</t>
  </si>
  <si>
    <t>Suven Life Sciences</t>
  </si>
  <si>
    <t>Vinyoflex Li</t>
  </si>
  <si>
    <t>Majesco L</t>
  </si>
  <si>
    <t>Jeevan Scientific</t>
  </si>
  <si>
    <t>+ 4.94</t>
  </si>
  <si>
    <t>McNally Bharat E</t>
  </si>
  <si>
    <t>Goodyear India</t>
  </si>
  <si>
    <t>Mid East Portfol</t>
  </si>
  <si>
    <t>Vishvprabha Ventures</t>
  </si>
  <si>
    <t>Gratex Industrie</t>
  </si>
  <si>
    <t>Winsome Textile</t>
  </si>
  <si>
    <t>AYM Syntex</t>
  </si>
  <si>
    <t>Remi Edelstahl Tubul</t>
  </si>
  <si>
    <t>Asian Tea Export</t>
  </si>
  <si>
    <t>Thakker's Develo</t>
  </si>
  <si>
    <t>Usha Martin Educatio</t>
  </si>
  <si>
    <t>Balkrishna Ind.</t>
  </si>
  <si>
    <t>+ 4.93</t>
  </si>
  <si>
    <t>Texmo Pipes &amp; Produc</t>
  </si>
  <si>
    <t>Ceat Ltd.</t>
  </si>
  <si>
    <t>Indowind Energy Ltd.</t>
  </si>
  <si>
    <t>Bilcare Ltd.</t>
  </si>
  <si>
    <t>Carborundum Uni.</t>
  </si>
  <si>
    <t>Acewin Agriteck</t>
  </si>
  <si>
    <t>Dutron Polymers</t>
  </si>
  <si>
    <t>GTN Textiles</t>
  </si>
  <si>
    <t>S &amp; S Power Switch</t>
  </si>
  <si>
    <t>Reliance Capital</t>
  </si>
  <si>
    <t>+ 4.92</t>
  </si>
  <si>
    <t>MSR India</t>
  </si>
  <si>
    <t>Nila Infrastructures</t>
  </si>
  <si>
    <t>Indsil Hydro Power a</t>
  </si>
  <si>
    <t>SMIFS Capital Ma</t>
  </si>
  <si>
    <t>Shaily Engineering P</t>
  </si>
  <si>
    <t>+ 4.91</t>
  </si>
  <si>
    <t>P G Industry Ltd</t>
  </si>
  <si>
    <t>Vallabh Steel Lt</t>
  </si>
  <si>
    <t>Chemcrux Enterprises</t>
  </si>
  <si>
    <t>Indo Thai Securities</t>
  </si>
  <si>
    <t>Jasch Industries</t>
  </si>
  <si>
    <t>Modern Dairies</t>
  </si>
  <si>
    <t>HB Estate Devlpr</t>
  </si>
  <si>
    <t>Trimurthi L</t>
  </si>
  <si>
    <t>Shalimar Wires Ind.</t>
  </si>
  <si>
    <t>Harish Textile Engin</t>
  </si>
  <si>
    <t>+ 4.90</t>
  </si>
  <si>
    <t>Cyber Media (India)</t>
  </si>
  <si>
    <t>Century Extru.</t>
  </si>
  <si>
    <t>Finkurve Financial S</t>
  </si>
  <si>
    <t>SAL Steel</t>
  </si>
  <si>
    <t>Suzlon Energy Ltd.</t>
  </si>
  <si>
    <t>Toyam Industries</t>
  </si>
  <si>
    <t>+ 4.89</t>
  </si>
  <si>
    <t>Timex Group India</t>
  </si>
  <si>
    <t>TV Vision</t>
  </si>
  <si>
    <t>Barak Valley Cements</t>
  </si>
  <si>
    <t>Videocon Industries</t>
  </si>
  <si>
    <t>T Nadu Telecom L</t>
  </si>
  <si>
    <t>Agio Paper &amp; Industr</t>
  </si>
  <si>
    <t>KBS India L</t>
  </si>
  <si>
    <t>TCM Ltd.</t>
  </si>
  <si>
    <t>Filatex Fashions</t>
  </si>
  <si>
    <t>+ 4.88</t>
  </si>
  <si>
    <t>Metalyst Forgings</t>
  </si>
  <si>
    <t>Howard Hotels Li</t>
  </si>
  <si>
    <t>Innovative Tech</t>
  </si>
  <si>
    <t>+ 4.87</t>
  </si>
  <si>
    <t>Lakshmi Auto Lm.</t>
  </si>
  <si>
    <t>Dhampure Specialty S</t>
  </si>
  <si>
    <t>Veejay Lakshmi E</t>
  </si>
  <si>
    <t>Galaxy Bearings</t>
  </si>
  <si>
    <t>Vikas Multicorp</t>
  </si>
  <si>
    <t>JHS Svendgaard Labor</t>
  </si>
  <si>
    <t>India Infraspace</t>
  </si>
  <si>
    <t>+ 4.86</t>
  </si>
  <si>
    <t>Soma Textiles</t>
  </si>
  <si>
    <t>Shashijit Infraproje</t>
  </si>
  <si>
    <t>Gujarat Credit Corp</t>
  </si>
  <si>
    <t>Aanchal Ispat Ltd.</t>
  </si>
  <si>
    <t>+ 4.85</t>
  </si>
  <si>
    <t>Milestone Furniture</t>
  </si>
  <si>
    <t>RS Software (India)</t>
  </si>
  <si>
    <t>Country Condo's</t>
  </si>
  <si>
    <t>Raunaq EPC Intl.</t>
  </si>
  <si>
    <t>Anubhav Infrastructu</t>
  </si>
  <si>
    <t>+ 4.84</t>
  </si>
  <si>
    <t>Camex Ltd.</t>
  </si>
  <si>
    <t>Addi Industries</t>
  </si>
  <si>
    <t>Asya Infosoft</t>
  </si>
  <si>
    <t>Pressman Advertising</t>
  </si>
  <si>
    <t>A Infrastructure</t>
  </si>
  <si>
    <t>Cityman Ltd.</t>
  </si>
  <si>
    <t>Starlog Enterprises</t>
  </si>
  <si>
    <t>+ 4.83</t>
  </si>
  <si>
    <t>Shukra Pharma</t>
  </si>
  <si>
    <t>+ 4.82</t>
  </si>
  <si>
    <t>Nalin Lease Fina</t>
  </si>
  <si>
    <t>Mystic Electronics</t>
  </si>
  <si>
    <t>SIP Industries</t>
  </si>
  <si>
    <t>TTK Healthcare Ltd.</t>
  </si>
  <si>
    <t>Citadel Realty &amp; Dev</t>
  </si>
  <si>
    <t>+ 4.81</t>
  </si>
  <si>
    <t>Palash Securities</t>
  </si>
  <si>
    <t>Shri Dinesh Mill</t>
  </si>
  <si>
    <t>Medinova Diagnostic</t>
  </si>
  <si>
    <t>+ 4.80</t>
  </si>
  <si>
    <t>Kinetic Engg.</t>
  </si>
  <si>
    <t>Bharat Heavy Ele</t>
  </si>
  <si>
    <t>+ 4.79</t>
  </si>
  <si>
    <t>Kushal L</t>
  </si>
  <si>
    <t>Vibrant Global Capit</t>
  </si>
  <si>
    <t>Modi Rubber</t>
  </si>
  <si>
    <t>National Steel and A</t>
  </si>
  <si>
    <t>+ 4.78</t>
  </si>
  <si>
    <t>Lohia Securities Ltd</t>
  </si>
  <si>
    <t>Suryavanshi Spg</t>
  </si>
  <si>
    <t>+ 4.77</t>
  </si>
  <si>
    <t>Agri-Tech (India)</t>
  </si>
  <si>
    <t>Mangalore Refine</t>
  </si>
  <si>
    <t>+ 4.76</t>
  </si>
  <si>
    <t>Unique Organics</t>
  </si>
  <si>
    <t>B P Capital</t>
  </si>
  <si>
    <t>Nihar Info Global Lt</t>
  </si>
  <si>
    <t>Super Tex Indust</t>
  </si>
  <si>
    <t>Grand Foundry</t>
  </si>
  <si>
    <t>Modern Steels</t>
  </si>
  <si>
    <t>+ 4.75</t>
  </si>
  <si>
    <t>Porwal Auto Comp</t>
  </si>
  <si>
    <t>Futuristic Solutions</t>
  </si>
  <si>
    <t>Siel Financial S</t>
  </si>
  <si>
    <t>+ 4.74</t>
  </si>
  <si>
    <t>JSW Ispat Special</t>
  </si>
  <si>
    <t>Sofcom Systems</t>
  </si>
  <si>
    <t>+ 4.73</t>
  </si>
  <si>
    <t>Shivam Autotech Ltd.</t>
  </si>
  <si>
    <t>CCL International Lt</t>
  </si>
  <si>
    <t>+ 4.72</t>
  </si>
  <si>
    <t>Pratik Panels Li</t>
  </si>
  <si>
    <t>Maral Overseas</t>
  </si>
  <si>
    <t>Karnavati Finance Lt</t>
  </si>
  <si>
    <t>DFM Foods Limi</t>
  </si>
  <si>
    <t>Excel Realty N Infra</t>
  </si>
  <si>
    <t>+ 4.71</t>
  </si>
  <si>
    <t>Summit Securities</t>
  </si>
  <si>
    <t>+ 4.70</t>
  </si>
  <si>
    <t>Mega Corporation</t>
  </si>
  <si>
    <t>+ 4.69</t>
  </si>
  <si>
    <t>Restile Ceramics</t>
  </si>
  <si>
    <t>MSTC Ltd.</t>
  </si>
  <si>
    <t>+ 4.68</t>
  </si>
  <si>
    <t>S R Industries L</t>
  </si>
  <si>
    <t>+ 4.67</t>
  </si>
  <si>
    <t>Ashirwad Steels</t>
  </si>
  <si>
    <t>Adani Green Energy</t>
  </si>
  <si>
    <t>Natural Capsules</t>
  </si>
  <si>
    <t>+ 4.66</t>
  </si>
  <si>
    <t>Sahara Housingfina C</t>
  </si>
  <si>
    <t>Coral India Finance</t>
  </si>
  <si>
    <t>+ 4.65</t>
  </si>
  <si>
    <t>PCS Technology</t>
  </si>
  <si>
    <t>Escorts Finance</t>
  </si>
  <si>
    <t>+ 4.64</t>
  </si>
  <si>
    <t>Hardcastle &amp; Waud</t>
  </si>
  <si>
    <t>+ 4.63</t>
  </si>
  <si>
    <t>NHC Foods</t>
  </si>
  <si>
    <t>+ 4.62</t>
  </si>
  <si>
    <t>Bannari Amman Su</t>
  </si>
  <si>
    <t>Olympic Oil Industri</t>
  </si>
  <si>
    <t>Praveg Communication</t>
  </si>
  <si>
    <t>+ 4.61</t>
  </si>
  <si>
    <t>South Indian Ban</t>
  </si>
  <si>
    <t>I G Petrochemicals</t>
  </si>
  <si>
    <t>Roopa Industries</t>
  </si>
  <si>
    <t>+ 4.59</t>
  </si>
  <si>
    <t>Sequent Scientific</t>
  </si>
  <si>
    <t>Indosolar Ltd.</t>
  </si>
  <si>
    <t>Bhagyanagar India Lt</t>
  </si>
  <si>
    <t>+ 4.58</t>
  </si>
  <si>
    <t>India Cements Lt</t>
  </si>
  <si>
    <t>Seasons Furnishi</t>
  </si>
  <si>
    <t>RLF Ltd.</t>
  </si>
  <si>
    <t>+ 4.54</t>
  </si>
  <si>
    <t>Canara Bank</t>
  </si>
  <si>
    <t>Prag Bosimi Syn.</t>
  </si>
  <si>
    <t>+ 4.52</t>
  </si>
  <si>
    <t>NPR Finance Limi</t>
  </si>
  <si>
    <t>+ 4.51</t>
  </si>
  <si>
    <t>Panchsheel Organ</t>
  </si>
  <si>
    <t>TV18 Broadcast</t>
  </si>
  <si>
    <t>Abhishek Infraventur</t>
  </si>
  <si>
    <t>+ 4.50</t>
  </si>
  <si>
    <t>Brawn Biotech</t>
  </si>
  <si>
    <t>RDB Realty &amp; Infrast</t>
  </si>
  <si>
    <t>+ 4.49</t>
  </si>
  <si>
    <t>Athena Global Techno</t>
  </si>
  <si>
    <t>ISGEC Heavy Eng</t>
  </si>
  <si>
    <t>CFSL L</t>
  </si>
  <si>
    <t>+ 4.48</t>
  </si>
  <si>
    <t>Ashram Online.com Lt</t>
  </si>
  <si>
    <t>+ 4.47</t>
  </si>
  <si>
    <t>Kothari Products</t>
  </si>
  <si>
    <t>Unitech Ltd.</t>
  </si>
  <si>
    <t>Vandana Knitwear</t>
  </si>
  <si>
    <t>+ 4.44</t>
  </si>
  <si>
    <t>MarathonNextgenRea</t>
  </si>
  <si>
    <t>+ 4.43</t>
  </si>
  <si>
    <t>Novateor Research</t>
  </si>
  <si>
    <t>Wardwizard Innovatio</t>
  </si>
  <si>
    <t>+ 4.42</t>
  </si>
  <si>
    <t>GTL Infrastructure</t>
  </si>
  <si>
    <t>Kiran Vyapar</t>
  </si>
  <si>
    <t>Coal India</t>
  </si>
  <si>
    <t>Lotus Chocolate</t>
  </si>
  <si>
    <t>+ 4.40</t>
  </si>
  <si>
    <t>Nirav Commercial</t>
  </si>
  <si>
    <t>Nagarjuna Agrite</t>
  </si>
  <si>
    <t>Esab India</t>
  </si>
  <si>
    <t>+ 4.39</t>
  </si>
  <si>
    <t>Swasti Vinayaka Art</t>
  </si>
  <si>
    <t>OK Play India Ltd.</t>
  </si>
  <si>
    <t>Commercial Engineers</t>
  </si>
  <si>
    <t>+ 4.38</t>
  </si>
  <si>
    <t>Coral Labs.</t>
  </si>
  <si>
    <t>+ 4.37</t>
  </si>
  <si>
    <t>Gati Ltd.</t>
  </si>
  <si>
    <t>Sibar Auto Parts</t>
  </si>
  <si>
    <t>+ 4.36</t>
  </si>
  <si>
    <t>Aarvee Denims an</t>
  </si>
  <si>
    <t>SJVN Ltd.</t>
  </si>
  <si>
    <t>Websol Energy System</t>
  </si>
  <si>
    <t>+ 4.35</t>
  </si>
  <si>
    <t>Lloyds Steels Ind.</t>
  </si>
  <si>
    <t>Krishna Ventures Ltd</t>
  </si>
  <si>
    <t>+ 4.33</t>
  </si>
  <si>
    <t>Puravankara</t>
  </si>
  <si>
    <t>Upsurge Investme</t>
  </si>
  <si>
    <t>+ 4.30</t>
  </si>
  <si>
    <t>Deco-Mica L</t>
  </si>
  <si>
    <t>Birlasoft</t>
  </si>
  <si>
    <t>Pankaj Polymers</t>
  </si>
  <si>
    <t>+ 4.28</t>
  </si>
  <si>
    <t>Carnation Indust</t>
  </si>
  <si>
    <t>+ 4.27</t>
  </si>
  <si>
    <t>SC Agrotech Ltd.</t>
  </si>
  <si>
    <t>Kesoram Industri</t>
  </si>
  <si>
    <t>Diana Tea Compan</t>
  </si>
  <si>
    <t>+ 4.24</t>
  </si>
  <si>
    <t>Sungold Capital</t>
  </si>
  <si>
    <t>Paramount Cosmet</t>
  </si>
  <si>
    <t>Syschem (India)</t>
  </si>
  <si>
    <t>Orient Cement Ltd.</t>
  </si>
  <si>
    <t>+ 4.22</t>
  </si>
  <si>
    <t>VMS Industries Ltd.</t>
  </si>
  <si>
    <t>Rapicut Carbides</t>
  </si>
  <si>
    <t>+ 4.20</t>
  </si>
  <si>
    <t>Denis Chem Lab L</t>
  </si>
  <si>
    <t>IL&amp;FS Transportation</t>
  </si>
  <si>
    <t>+ 4.17</t>
  </si>
  <si>
    <t>Indbank Merchant</t>
  </si>
  <si>
    <t>Pasari Spinning</t>
  </si>
  <si>
    <t>JCT Ltd.</t>
  </si>
  <si>
    <t>Virtual Global Edu</t>
  </si>
  <si>
    <t>Sunil Healthcare</t>
  </si>
  <si>
    <t>Bank of India</t>
  </si>
  <si>
    <t>+ 4.16</t>
  </si>
  <si>
    <t>Mahi. &amp; Mahi</t>
  </si>
  <si>
    <t>+ 4.15</t>
  </si>
  <si>
    <t>Eco Recycling</t>
  </si>
  <si>
    <t>+ 4.14</t>
  </si>
  <si>
    <t>Whirlpool of Ind</t>
  </si>
  <si>
    <t>+ 4.12</t>
  </si>
  <si>
    <t>Minda Industries</t>
  </si>
  <si>
    <t>Rajratan Global Wire</t>
  </si>
  <si>
    <t>Lemon Tree Hotels</t>
  </si>
  <si>
    <t>Brooks Laboratories</t>
  </si>
  <si>
    <t>+ 4.09</t>
  </si>
  <si>
    <t>Jetking Infotrain Lt</t>
  </si>
  <si>
    <t>+ 4.08</t>
  </si>
  <si>
    <t>NOCIL Ltd.</t>
  </si>
  <si>
    <t>Loyal Equipments Ltd</t>
  </si>
  <si>
    <t>Kalpataru Power</t>
  </si>
  <si>
    <t>+ 4.07</t>
  </si>
  <si>
    <t>BCC Fuba India</t>
  </si>
  <si>
    <t>GHCL</t>
  </si>
  <si>
    <t>+ 4.06</t>
  </si>
  <si>
    <t>Oriental Carbon</t>
  </si>
  <si>
    <t>Max Healthcare Inst.</t>
  </si>
  <si>
    <t>+ 4.05</t>
  </si>
  <si>
    <t>Unity Infraprojects</t>
  </si>
  <si>
    <t>+ 4.04</t>
  </si>
  <si>
    <t>United Credit Li</t>
  </si>
  <si>
    <t>Mallcom (India) L</t>
  </si>
  <si>
    <t>Pritika Auto Ind.</t>
  </si>
  <si>
    <t>Automotive Stampings</t>
  </si>
  <si>
    <t>Himadri Speciality</t>
  </si>
  <si>
    <t>Repro India Ltd.</t>
  </si>
  <si>
    <t>+ 4.01</t>
  </si>
  <si>
    <t>Integra Garments</t>
  </si>
  <si>
    <t>+ 4.00</t>
  </si>
  <si>
    <t>Jhandewalas Foods</t>
  </si>
  <si>
    <t>MT</t>
  </si>
  <si>
    <t>+ 3.99</t>
  </si>
  <si>
    <t>GEE Ltd.</t>
  </si>
  <si>
    <t>+ 3.98</t>
  </si>
  <si>
    <t>Bajaj Electricals</t>
  </si>
  <si>
    <t>+ 3.97</t>
  </si>
  <si>
    <t>Amrit Corp. Ltd.</t>
  </si>
  <si>
    <t>Venlon Enterprises</t>
  </si>
  <si>
    <t>+ 3.96</t>
  </si>
  <si>
    <t>Greenpanel Industrie</t>
  </si>
  <si>
    <t>GP Petroleums</t>
  </si>
  <si>
    <t>Sonata Software</t>
  </si>
  <si>
    <t>+ 3.95</t>
  </si>
  <si>
    <t>Swarnsarita Gems</t>
  </si>
  <si>
    <t>+ 3.93</t>
  </si>
  <si>
    <t>Kennametal India</t>
  </si>
  <si>
    <t>Galaxy Cloud Kitchen</t>
  </si>
  <si>
    <t>+ 3.92</t>
  </si>
  <si>
    <t>IndiaMART InterMESH</t>
  </si>
  <si>
    <t>DCM Nouvelle</t>
  </si>
  <si>
    <t>Zen Technologies Ltd</t>
  </si>
  <si>
    <t>+ 3.91</t>
  </si>
  <si>
    <t>Banco Products</t>
  </si>
  <si>
    <t>Karnataka Bank</t>
  </si>
  <si>
    <t>M M Forgings Ltd.</t>
  </si>
  <si>
    <t>Simmonds Marshal</t>
  </si>
  <si>
    <t>+ 3.88</t>
  </si>
  <si>
    <t>Techno Electric&amp;Eng</t>
  </si>
  <si>
    <t>+ 3.86</t>
  </si>
  <si>
    <t>Prism Medico and Pha</t>
  </si>
  <si>
    <t>Kalyani Forge</t>
  </si>
  <si>
    <t>+ 3.84</t>
  </si>
  <si>
    <t>Sadhana Nitro</t>
  </si>
  <si>
    <t>Jindal Capital L</t>
  </si>
  <si>
    <t>+ 3.82</t>
  </si>
  <si>
    <t>Punj. &amp; Sind Ban</t>
  </si>
  <si>
    <t>The New India Assur</t>
  </si>
  <si>
    <t>Sun TV Network Ltd.</t>
  </si>
  <si>
    <t>Indl.&amp;Prud.Invst</t>
  </si>
  <si>
    <t>+ 3.80</t>
  </si>
  <si>
    <t>Welcast Steels</t>
  </si>
  <si>
    <t>Suven Pharmaceutical</t>
  </si>
  <si>
    <t>Archit Organosys</t>
  </si>
  <si>
    <t>James Warren Tea</t>
  </si>
  <si>
    <t>Astec Lifesciences L</t>
  </si>
  <si>
    <t>+ 3.79</t>
  </si>
  <si>
    <t>Duroply lndustries L</t>
  </si>
  <si>
    <t>+ 3.78</t>
  </si>
  <si>
    <t>GTN Industries</t>
  </si>
  <si>
    <t>PTC India</t>
  </si>
  <si>
    <t>GlobalSpace Techno</t>
  </si>
  <si>
    <t>+ 3.77</t>
  </si>
  <si>
    <t>Elixir Capital</t>
  </si>
  <si>
    <t>Bank of Baroda</t>
  </si>
  <si>
    <t>Goodricke Group</t>
  </si>
  <si>
    <t>+ 3.75</t>
  </si>
  <si>
    <t>Vasundhara Rasayans</t>
  </si>
  <si>
    <t>Cravatex</t>
  </si>
  <si>
    <t>+ 3.74</t>
  </si>
  <si>
    <t>Force Motors</t>
  </si>
  <si>
    <t>Tayo Rolls Ltd</t>
  </si>
  <si>
    <t>+ 3.72</t>
  </si>
  <si>
    <t>Welspun Enterprises</t>
  </si>
  <si>
    <t>CSL Finance</t>
  </si>
  <si>
    <t>+ 3.71</t>
  </si>
  <si>
    <t>Ultracab (India) Ltd</t>
  </si>
  <si>
    <t>+ 3.70</t>
  </si>
  <si>
    <t>Ajmera Realty &amp; Infr</t>
  </si>
  <si>
    <t>Artson Engg.</t>
  </si>
  <si>
    <t>Magna Electrocas</t>
  </si>
  <si>
    <t>+ 3.68</t>
  </si>
  <si>
    <t>Syncom Healthcare Lt</t>
  </si>
  <si>
    <t>+ 3.66</t>
  </si>
  <si>
    <t>Cella Space Ltd.</t>
  </si>
  <si>
    <t>+ 3.65</t>
  </si>
  <si>
    <t>Jayshree Chem.</t>
  </si>
  <si>
    <t>Lehar Footwears</t>
  </si>
  <si>
    <t>+ 3.64</t>
  </si>
  <si>
    <t>PMC Fincorp</t>
  </si>
  <si>
    <t>Eveready Industr</t>
  </si>
  <si>
    <t>Nandan Denim</t>
  </si>
  <si>
    <t>+ 3.63</t>
  </si>
  <si>
    <t>Dollar Industries</t>
  </si>
  <si>
    <t>GKB Ophthalmic</t>
  </si>
  <si>
    <t>Nitin Castings</t>
  </si>
  <si>
    <t>+ 3.62</t>
  </si>
  <si>
    <t>Kirloskar Bros.</t>
  </si>
  <si>
    <t>Jai Corp Ltd.</t>
  </si>
  <si>
    <t>Ballarpur Ind.</t>
  </si>
  <si>
    <t>Victoria Mills</t>
  </si>
  <si>
    <t>Salzer Electr.</t>
  </si>
  <si>
    <t>LancorHoldings Ltd</t>
  </si>
  <si>
    <t>+ 3.60</t>
  </si>
  <si>
    <t>Majestic Auto</t>
  </si>
  <si>
    <t>Trident Ltd.</t>
  </si>
  <si>
    <t>Blue Dart Expres</t>
  </si>
  <si>
    <t>Suprajit Enginee</t>
  </si>
  <si>
    <t>Vijay Solvex Ltd</t>
  </si>
  <si>
    <t>+ 3.59</t>
  </si>
  <si>
    <t>FDC Ltd.</t>
  </si>
  <si>
    <t>+ 3.58</t>
  </si>
  <si>
    <t>V-Guard Ind.Ltd.</t>
  </si>
  <si>
    <t>+ 3.57</t>
  </si>
  <si>
    <t>Centenial Surgic</t>
  </si>
  <si>
    <t>Rail Vikas Nigam</t>
  </si>
  <si>
    <t>+ 3.56</t>
  </si>
  <si>
    <t>GeeCee Ventures</t>
  </si>
  <si>
    <t>Ind Bank Housing</t>
  </si>
  <si>
    <t>+ 3.55</t>
  </si>
  <si>
    <t>Ruttonsha Intl.</t>
  </si>
  <si>
    <t>+ 3.53</t>
  </si>
  <si>
    <t>Madhav Infra Project</t>
  </si>
  <si>
    <t>Black Rose Industrie</t>
  </si>
  <si>
    <t>Scooters India</t>
  </si>
  <si>
    <t>+ 3.52</t>
  </si>
  <si>
    <t>Radhe Developers</t>
  </si>
  <si>
    <t>Gajra Bevel Gear</t>
  </si>
  <si>
    <t>Asso. Alcohols</t>
  </si>
  <si>
    <t>Venus Remedies L</t>
  </si>
  <si>
    <t>Lime Chemicals</t>
  </si>
  <si>
    <t>+ 3.50</t>
  </si>
  <si>
    <t>Panasonic Energy Ind</t>
  </si>
  <si>
    <t>+ 3.49</t>
  </si>
  <si>
    <t>UTL Industries</t>
  </si>
  <si>
    <t>+ 3.47</t>
  </si>
  <si>
    <t>Liberty Shoes Li</t>
  </si>
  <si>
    <t>Lyka Labs</t>
  </si>
  <si>
    <t>Cressanda Solutions</t>
  </si>
  <si>
    <t>+ 3.45</t>
  </si>
  <si>
    <t>Manaksia Ltd.</t>
  </si>
  <si>
    <t>+ 3.44</t>
  </si>
  <si>
    <t>Chembond Chemica</t>
  </si>
  <si>
    <t>Blue Chip Tex In</t>
  </si>
  <si>
    <t>Ultramarine Pig.</t>
  </si>
  <si>
    <t>+ 3.43</t>
  </si>
  <si>
    <t>Phillips Carbon</t>
  </si>
  <si>
    <t>+ 3.42</t>
  </si>
  <si>
    <t>Kopran Ltd</t>
  </si>
  <si>
    <t>Bhartiya Interna</t>
  </si>
  <si>
    <t>Mercury Laboratories</t>
  </si>
  <si>
    <t>+ 3.41</t>
  </si>
  <si>
    <t>Kajaria Ceramics</t>
  </si>
  <si>
    <t>LG Balakrishnan&amp;Bros</t>
  </si>
  <si>
    <t>+ 3.39</t>
  </si>
  <si>
    <t>Kewal Kiran Clothing</t>
  </si>
  <si>
    <t>+ 3.38</t>
  </si>
  <si>
    <t>MTNL</t>
  </si>
  <si>
    <t>Precision Camshafts</t>
  </si>
  <si>
    <t>+ 3.37</t>
  </si>
  <si>
    <t>PremierLtd.</t>
  </si>
  <si>
    <t>Gujarat Gas</t>
  </si>
  <si>
    <t>Rane Engine Valve Lt</t>
  </si>
  <si>
    <t>+ 3.36</t>
  </si>
  <si>
    <t>Tuni Textile Mil</t>
  </si>
  <si>
    <t>+ 3.33</t>
  </si>
  <si>
    <t>Kirloskar Pneumatic</t>
  </si>
  <si>
    <t>Sumeru Industries Lt</t>
  </si>
  <si>
    <t>Jindal Photo</t>
  </si>
  <si>
    <t>Ratnamani Metals</t>
  </si>
  <si>
    <t>+ 3.32</t>
  </si>
  <si>
    <t>Amarjothi Spg.Mi</t>
  </si>
  <si>
    <t>Bright Brothers</t>
  </si>
  <si>
    <t>+ 3.31</t>
  </si>
  <si>
    <t>Anmol India</t>
  </si>
  <si>
    <t>AIA Engineering</t>
  </si>
  <si>
    <t>Thirumalai Chem.</t>
  </si>
  <si>
    <t>Hind. Oil Explor</t>
  </si>
  <si>
    <t>+ 3.28</t>
  </si>
  <si>
    <t>Mayukh Dealtrade</t>
  </si>
  <si>
    <t>GE T&amp;D India</t>
  </si>
  <si>
    <t>Oriental Veneer</t>
  </si>
  <si>
    <t>+ 3.26</t>
  </si>
  <si>
    <t>Siemens Ltd.</t>
  </si>
  <si>
    <t>Nalwa Sons Investmen</t>
  </si>
  <si>
    <t>+ 3.25</t>
  </si>
  <si>
    <t>Gayatri Projects</t>
  </si>
  <si>
    <t>Anupam Finserv</t>
  </si>
  <si>
    <t>Dr. Lal Pathlabs Ltd</t>
  </si>
  <si>
    <t>+ 3.24</t>
  </si>
  <si>
    <t>Arvind Ltd.</t>
  </si>
  <si>
    <t>Jayaswal Neco Indust</t>
  </si>
  <si>
    <t>+ 3.23</t>
  </si>
  <si>
    <t>Healthcare Global En</t>
  </si>
  <si>
    <t>+ 3.22</t>
  </si>
  <si>
    <t>Narayana Hrudayalaya</t>
  </si>
  <si>
    <t>+ 3.21</t>
  </si>
  <si>
    <t>Multibase India Ltd.</t>
  </si>
  <si>
    <t>Oil India Ltd.</t>
  </si>
  <si>
    <t>+ 3.20</t>
  </si>
  <si>
    <t>Antony Waste Handlin</t>
  </si>
  <si>
    <t>Ortel Communications</t>
  </si>
  <si>
    <t>Brigade Enterprises</t>
  </si>
  <si>
    <t>Federal Bank</t>
  </si>
  <si>
    <t>+ 3.19</t>
  </si>
  <si>
    <t>Ramkrishna Forgings</t>
  </si>
  <si>
    <t>Kolte-Patil Develope</t>
  </si>
  <si>
    <t>+ 3.18</t>
  </si>
  <si>
    <t>Goenka Diamond &amp; Jew</t>
  </si>
  <si>
    <t>+ 3.17</t>
  </si>
  <si>
    <t>TAAL Enterprises</t>
  </si>
  <si>
    <t>Adani Power Ltd.</t>
  </si>
  <si>
    <t>+ 3.15</t>
  </si>
  <si>
    <t>Sandhar Technologies</t>
  </si>
  <si>
    <t>+ 3.14</t>
  </si>
  <si>
    <t>Punj Lloyd</t>
  </si>
  <si>
    <t>Computer Age Mgt</t>
  </si>
  <si>
    <t>Manugraph India Ltd.</t>
  </si>
  <si>
    <t>+ 3.13</t>
  </si>
  <si>
    <t>Singer India</t>
  </si>
  <si>
    <t>The Indian Wood Prod</t>
  </si>
  <si>
    <t>Indiabulls Real Esta</t>
  </si>
  <si>
    <t>Aayush Food &amp; Herbs</t>
  </si>
  <si>
    <t>+ 3.11</t>
  </si>
  <si>
    <t>Fineotex Chemical Lt</t>
  </si>
  <si>
    <t>Guj. Intrux</t>
  </si>
  <si>
    <t>+ 3.10</t>
  </si>
  <si>
    <t>Virat Industries</t>
  </si>
  <si>
    <t>+ 3.09</t>
  </si>
  <si>
    <t>Modi Naturals</t>
  </si>
  <si>
    <t>Balrampur Chini</t>
  </si>
  <si>
    <t>The Hi-Tech Gears</t>
  </si>
  <si>
    <t>Aavas Financiers</t>
  </si>
  <si>
    <t>Titan Biotech Ltd.</t>
  </si>
  <si>
    <t>+ 3.06</t>
  </si>
  <si>
    <t>Zenotech Laboratorie</t>
  </si>
  <si>
    <t>Kilitch Drugs(I)</t>
  </si>
  <si>
    <t>Global Vectra Helico</t>
  </si>
  <si>
    <t>ETT L</t>
  </si>
  <si>
    <t>Coromandel Engg.</t>
  </si>
  <si>
    <t>Rollatainers Ltd</t>
  </si>
  <si>
    <t>+ 3.05</t>
  </si>
  <si>
    <t>Strides Pharma Scien</t>
  </si>
  <si>
    <t>+ 3.04</t>
  </si>
  <si>
    <t>Hinduja Global Solut</t>
  </si>
  <si>
    <t>Zuari Global</t>
  </si>
  <si>
    <t>Kakatiya Cement Suga</t>
  </si>
  <si>
    <t>Andhra Petro</t>
  </si>
  <si>
    <t>+ 3.02</t>
  </si>
  <si>
    <t>Greenply Industr</t>
  </si>
  <si>
    <t>Punj. NationlBak</t>
  </si>
  <si>
    <t>Skipper Ltd.</t>
  </si>
  <si>
    <t>Mangalam Timber</t>
  </si>
  <si>
    <t>+ 2.98</t>
  </si>
  <si>
    <t>Supreme Inds.</t>
  </si>
  <si>
    <t>Dolat Investment</t>
  </si>
  <si>
    <t>Autolite (I)</t>
  </si>
  <si>
    <t>+ 2.97</t>
  </si>
  <si>
    <t>Genus Power Infrastr</t>
  </si>
  <si>
    <t>+ 2.96</t>
  </si>
  <si>
    <t>Oberoi Realty</t>
  </si>
  <si>
    <t>Ujaas Energy</t>
  </si>
  <si>
    <t>Darjeeling Ropeway</t>
  </si>
  <si>
    <t>+ 2.94</t>
  </si>
  <si>
    <t>Nitin Fire Protectio</t>
  </si>
  <si>
    <t>Colorchips New Media</t>
  </si>
  <si>
    <t>+ 2.93</t>
  </si>
  <si>
    <t>Nile</t>
  </si>
  <si>
    <t>+ 2.92</t>
  </si>
  <si>
    <t>Zensar Technologies</t>
  </si>
  <si>
    <t>+ 2.91</t>
  </si>
  <si>
    <t>SORIL Infra Resource</t>
  </si>
  <si>
    <t>+ 2.90</t>
  </si>
  <si>
    <t>Jindal Poly Films</t>
  </si>
  <si>
    <t>Balaji Amines Li</t>
  </si>
  <si>
    <t>+ 2.89</t>
  </si>
  <si>
    <t>Sadbhav Engineering</t>
  </si>
  <si>
    <t>Thyrocare Tech.</t>
  </si>
  <si>
    <t>+ 2.88</t>
  </si>
  <si>
    <t>BSEL Infra. Realty</t>
  </si>
  <si>
    <t>Mercator Ltd.</t>
  </si>
  <si>
    <t>KEC International Lt</t>
  </si>
  <si>
    <t>Leading Leasing Fin</t>
  </si>
  <si>
    <t>+ 2.87</t>
  </si>
  <si>
    <t>Polylink Polymer</t>
  </si>
  <si>
    <t>Satin Creditcare</t>
  </si>
  <si>
    <t>+ 2.86</t>
  </si>
  <si>
    <t>Cenlub Industrie</t>
  </si>
  <si>
    <t>RTS Power Corpor</t>
  </si>
  <si>
    <t>Bharat Gears</t>
  </si>
  <si>
    <t>Nelco Ltd</t>
  </si>
  <si>
    <t>+ 2.85</t>
  </si>
  <si>
    <t>Intense Technologies</t>
  </si>
  <si>
    <t>+ 2.84</t>
  </si>
  <si>
    <t>Winsome Brewerie</t>
  </si>
  <si>
    <t>Himatsingka Seid</t>
  </si>
  <si>
    <t>PTC India Financial</t>
  </si>
  <si>
    <t>Indo Amines Limi</t>
  </si>
  <si>
    <t>Adhunik Industries</t>
  </si>
  <si>
    <t>Union Bank of In</t>
  </si>
  <si>
    <t>+ 2.83</t>
  </si>
  <si>
    <t>HBL Power Systems Lt</t>
  </si>
  <si>
    <t>+ 2.82</t>
  </si>
  <si>
    <t>Tata Chemicals</t>
  </si>
  <si>
    <t>HG Infra Engineering</t>
  </si>
  <si>
    <t>Kridhan Infra</t>
  </si>
  <si>
    <t>Danlaw Technologies</t>
  </si>
  <si>
    <t>+ 2.81</t>
  </si>
  <si>
    <t>W S Industries</t>
  </si>
  <si>
    <t>Jain Irrigation</t>
  </si>
  <si>
    <t>+ 2.80</t>
  </si>
  <si>
    <t>G M Breweries Ltd.</t>
  </si>
  <si>
    <t>AK Spintex L</t>
  </si>
  <si>
    <t>+ 2.79</t>
  </si>
  <si>
    <t>Kaveri Seed Company</t>
  </si>
  <si>
    <t>+ 2.78</t>
  </si>
  <si>
    <t>Manaksia Aluminium</t>
  </si>
  <si>
    <t>Century Plyboards</t>
  </si>
  <si>
    <t>+ 2.77</t>
  </si>
  <si>
    <t>BF Investment Ltd.</t>
  </si>
  <si>
    <t>Kabra Extrusion</t>
  </si>
  <si>
    <t>+ 2.76</t>
  </si>
  <si>
    <t>Dalmia Bharat Sugar</t>
  </si>
  <si>
    <t>Nava Bharat Ventures</t>
  </si>
  <si>
    <t>+ 2.75</t>
  </si>
  <si>
    <t>IndiaNivesh</t>
  </si>
  <si>
    <t>Cyient Ltd.</t>
  </si>
  <si>
    <t>+ 2.74</t>
  </si>
  <si>
    <t>Choksi Imaging</t>
  </si>
  <si>
    <t>Mirc Electronics</t>
  </si>
  <si>
    <t>Vinati Organics</t>
  </si>
  <si>
    <t>East West Holdings</t>
  </si>
  <si>
    <t>Suryalata Spg.</t>
  </si>
  <si>
    <t>+ 2.73</t>
  </si>
  <si>
    <t>VIP Clothing</t>
  </si>
  <si>
    <t>Hindalco Indus.</t>
  </si>
  <si>
    <t>+ 2.72</t>
  </si>
  <si>
    <t>White Organic Agro</t>
  </si>
  <si>
    <t>Mohota Industries L</t>
  </si>
  <si>
    <t>+ 2.71</t>
  </si>
  <si>
    <t>Gujarat Narmada Vall</t>
  </si>
  <si>
    <t>Lotus Eye Hospital</t>
  </si>
  <si>
    <t>Insecticides (India)</t>
  </si>
  <si>
    <t>Century Enka</t>
  </si>
  <si>
    <t>Almondz Global Secur</t>
  </si>
  <si>
    <t>+ 2.70</t>
  </si>
  <si>
    <t>Alkali Metals Ltd.</t>
  </si>
  <si>
    <t>Adinath Exim Res</t>
  </si>
  <si>
    <t>SMS Pharmaceuticals</t>
  </si>
  <si>
    <t>+ 2.68</t>
  </si>
  <si>
    <t>ABC India Ltd.</t>
  </si>
  <si>
    <t>Mac Charles</t>
  </si>
  <si>
    <t>+ 2.67</t>
  </si>
  <si>
    <t>Tamilnadu Petroprod</t>
  </si>
  <si>
    <t>AGI Infra Ltd.</t>
  </si>
  <si>
    <t>+ 2.65</t>
  </si>
  <si>
    <t>Ashika Credit Cap.</t>
  </si>
  <si>
    <t>Matrimony.com</t>
  </si>
  <si>
    <t>Orient Electric</t>
  </si>
  <si>
    <t>Machino Plastics</t>
  </si>
  <si>
    <t>+ 2.63</t>
  </si>
  <si>
    <t>West Coast Paper</t>
  </si>
  <si>
    <t>Jyothy Labs</t>
  </si>
  <si>
    <t>NMDC Ltd.</t>
  </si>
  <si>
    <t>+ 2.62</t>
  </si>
  <si>
    <t>Ganges Securities</t>
  </si>
  <si>
    <t>Bhageria Industries</t>
  </si>
  <si>
    <t>Dhanalaxmi Roto</t>
  </si>
  <si>
    <t>Titagarh Wagons Ltd.</t>
  </si>
  <si>
    <t>Can Fin Homes</t>
  </si>
  <si>
    <t>Borosil L</t>
  </si>
  <si>
    <t>Burnpur Cement Ltd.</t>
  </si>
  <si>
    <t>+ 2.61</t>
  </si>
  <si>
    <t>Kimia Biosciences</t>
  </si>
  <si>
    <t>Sayaji Hotels Lt</t>
  </si>
  <si>
    <t>PPAP Automotive</t>
  </si>
  <si>
    <t>+ 2.60</t>
  </si>
  <si>
    <t>Ecoplast L</t>
  </si>
  <si>
    <t>Adani Transmission L</t>
  </si>
  <si>
    <t>Tata Communications</t>
  </si>
  <si>
    <t>+ 2.58</t>
  </si>
  <si>
    <t>Guj. Sidhee Ceme</t>
  </si>
  <si>
    <t>Balaji Telefilms Ltd</t>
  </si>
  <si>
    <t>Elecon Engg.</t>
  </si>
  <si>
    <t>Flex Foods</t>
  </si>
  <si>
    <t>+ 2.56</t>
  </si>
  <si>
    <t>MediCaps</t>
  </si>
  <si>
    <t>Expleo Solutions</t>
  </si>
  <si>
    <t>GTL Ltd.</t>
  </si>
  <si>
    <t>Weizmann</t>
  </si>
  <si>
    <t>+ 2.55</t>
  </si>
  <si>
    <t>Container Corpor</t>
  </si>
  <si>
    <t>+ 2.54</t>
  </si>
  <si>
    <t>BayerCropscience</t>
  </si>
  <si>
    <t>AstraZeneca Pharma I</t>
  </si>
  <si>
    <t>Tranway Technologies</t>
  </si>
  <si>
    <t>MS</t>
  </si>
  <si>
    <t>+ 2.53</t>
  </si>
  <si>
    <t>Tin Plate Co.</t>
  </si>
  <si>
    <t>+ 2.52</t>
  </si>
  <si>
    <t>Dwarikesh Sugar</t>
  </si>
  <si>
    <t>+ 2.51</t>
  </si>
  <si>
    <t>Nahar Poly Films Ltd</t>
  </si>
  <si>
    <t>Resonance Spec.</t>
  </si>
  <si>
    <t>+ 2.50</t>
  </si>
  <si>
    <t>PNB Gilts Ltd.</t>
  </si>
  <si>
    <t>Kamdhenu Ispat</t>
  </si>
  <si>
    <t>Hikal Ltd.</t>
  </si>
  <si>
    <t>Aptech Ltd.</t>
  </si>
  <si>
    <t>TCI Ltd.</t>
  </si>
  <si>
    <t>+ 2.47</t>
  </si>
  <si>
    <t>Greenlam Industries</t>
  </si>
  <si>
    <t>+ 2.46</t>
  </si>
  <si>
    <t>HMT Ltd.</t>
  </si>
  <si>
    <t>+ 2.45</t>
  </si>
  <si>
    <t>Dhanada Corporation</t>
  </si>
  <si>
    <t>Cummins India Lt</t>
  </si>
  <si>
    <t>Asian Energy Service</t>
  </si>
  <si>
    <t>Cholamandalam Financ</t>
  </si>
  <si>
    <t>+ 2.43</t>
  </si>
  <si>
    <t>Great Eastern</t>
  </si>
  <si>
    <t>+ 2.42</t>
  </si>
  <si>
    <t>Harrisons Malaya</t>
  </si>
  <si>
    <t>+ 2.41</t>
  </si>
  <si>
    <t>Shree Pushkar Chemic</t>
  </si>
  <si>
    <t>Shree Cement</t>
  </si>
  <si>
    <t>+ 2.40</t>
  </si>
  <si>
    <t>NLC India L</t>
  </si>
  <si>
    <t>MRF Ltd</t>
  </si>
  <si>
    <t>Steel Strips Wheels</t>
  </si>
  <si>
    <t>Surana Telecom and P</t>
  </si>
  <si>
    <t>+ 2.38</t>
  </si>
  <si>
    <t>NACL Industries L</t>
  </si>
  <si>
    <t>Indiabulls Housing F</t>
  </si>
  <si>
    <t>+ 2.37</t>
  </si>
  <si>
    <t>DCM Shriram In</t>
  </si>
  <si>
    <t>Ashiana Ispat</t>
  </si>
  <si>
    <t>Igarashi Motors Indi</t>
  </si>
  <si>
    <t>+ 2.36</t>
  </si>
  <si>
    <t>Gillette India Ltd.</t>
  </si>
  <si>
    <t>Phaarmasia Ltd.</t>
  </si>
  <si>
    <t>Beekay Steel Indus</t>
  </si>
  <si>
    <t>Acknit Industries Lt</t>
  </si>
  <si>
    <t>Pennar Industrie</t>
  </si>
  <si>
    <t>Poddar Housing</t>
  </si>
  <si>
    <t>Aditya Birla Fashion</t>
  </si>
  <si>
    <t>+ 2.35</t>
  </si>
  <si>
    <t>V Mart Retail</t>
  </si>
  <si>
    <t>Parag Milk Foods</t>
  </si>
  <si>
    <t>+ 2.34</t>
  </si>
  <si>
    <t>T &amp; I Global Lim</t>
  </si>
  <si>
    <t>Oriental Trimex</t>
  </si>
  <si>
    <t>IDBI Bank Ltd.</t>
  </si>
  <si>
    <t>PTL Enterprises</t>
  </si>
  <si>
    <t>The Mandhana Retail</t>
  </si>
  <si>
    <t>Chennai Petro.</t>
  </si>
  <si>
    <t>Bajaj Finance L</t>
  </si>
  <si>
    <t>CG Power and Indust</t>
  </si>
  <si>
    <t>Seya Industries</t>
  </si>
  <si>
    <t>+ 2.31</t>
  </si>
  <si>
    <t>KEI Industries</t>
  </si>
  <si>
    <t>Metropolis Healthcar</t>
  </si>
  <si>
    <t>Nitco Ltd.</t>
  </si>
  <si>
    <t>Meghmani Organics</t>
  </si>
  <si>
    <t>Reliance Chemote</t>
  </si>
  <si>
    <t>Alphageo (India)</t>
  </si>
  <si>
    <t>+ 2.30</t>
  </si>
  <si>
    <t>Gulshan Polyols Ltd.</t>
  </si>
  <si>
    <t>Caprihans India</t>
  </si>
  <si>
    <t>Kisan Mouldings</t>
  </si>
  <si>
    <t>+ 2.28</t>
  </si>
  <si>
    <t>Yasho Industries</t>
  </si>
  <si>
    <t>Kalyani Steel</t>
  </si>
  <si>
    <t>Saksoft Ltd.</t>
  </si>
  <si>
    <t>Dixon Technologies</t>
  </si>
  <si>
    <t>+ 2.27</t>
  </si>
  <si>
    <t>Rashtriya Chemicals</t>
  </si>
  <si>
    <t>Sri Havisha Hospital</t>
  </si>
  <si>
    <t>Kirloskar Ferrou</t>
  </si>
  <si>
    <t>+ 2.26</t>
  </si>
  <si>
    <t>J Kumar Infraproject</t>
  </si>
  <si>
    <t>GSS Infotech</t>
  </si>
  <si>
    <t>+ 2.25</t>
  </si>
  <si>
    <t>Castrol India</t>
  </si>
  <si>
    <t>Bombay Dyeing</t>
  </si>
  <si>
    <t>Johnson Controls-Hit</t>
  </si>
  <si>
    <t>+ 2.24</t>
  </si>
  <si>
    <t>Rain Industries</t>
  </si>
  <si>
    <t>Windsor Machines</t>
  </si>
  <si>
    <t>Madhav Marbles &amp; Gra</t>
  </si>
  <si>
    <t>JSW Energy Ltd.</t>
  </si>
  <si>
    <t>+ 2.23</t>
  </si>
  <si>
    <t>Rajapalayam Mill</t>
  </si>
  <si>
    <t>Max Ventures and Ind</t>
  </si>
  <si>
    <t>+ 2.22</t>
  </si>
  <si>
    <t>Indo Tech Transforme</t>
  </si>
  <si>
    <t>Astra Microwave</t>
  </si>
  <si>
    <t>Osiajee Texfab</t>
  </si>
  <si>
    <t>Apar Industries</t>
  </si>
  <si>
    <t>SundaramBrakeLining</t>
  </si>
  <si>
    <t>+ 2.21</t>
  </si>
  <si>
    <t>Crest Ventures</t>
  </si>
  <si>
    <t>Shalimar Paints</t>
  </si>
  <si>
    <t>+ 2.19</t>
  </si>
  <si>
    <t>Goodluck India</t>
  </si>
  <si>
    <t>+ 2.18</t>
  </si>
  <si>
    <t>Acrysil Ltd.</t>
  </si>
  <si>
    <t>+ 2.17</t>
  </si>
  <si>
    <t>NBCC (India)</t>
  </si>
  <si>
    <t>S P Apparels Ltd.</t>
  </si>
  <si>
    <t>Ashoka Buildcon Ltd.</t>
  </si>
  <si>
    <t>KMC Speciality Hospi</t>
  </si>
  <si>
    <t>Dhampur Sugar</t>
  </si>
  <si>
    <t>+ 2.15</t>
  </si>
  <si>
    <t>Chemcon Speciality</t>
  </si>
  <si>
    <t>Fiberweb (India)</t>
  </si>
  <si>
    <t>+ 2.14</t>
  </si>
  <si>
    <t>Aimco Pesticides</t>
  </si>
  <si>
    <t>RPSG Ventures</t>
  </si>
  <si>
    <t>K G Denim Ltd.</t>
  </si>
  <si>
    <t>+ 2.13</t>
  </si>
  <si>
    <t>Umang Dairies Ltd.</t>
  </si>
  <si>
    <t>Raymond Ltd</t>
  </si>
  <si>
    <t>+ 2.12</t>
  </si>
  <si>
    <t>REC</t>
  </si>
  <si>
    <t>India Gelatine &amp;</t>
  </si>
  <si>
    <t>+ 2.11</t>
  </si>
  <si>
    <t>Superhouse Ltd.</t>
  </si>
  <si>
    <t>Hexa Tradex Ltd.</t>
  </si>
  <si>
    <t>Ashima Ltd.</t>
  </si>
  <si>
    <t>Mold-Tek Technologi.</t>
  </si>
  <si>
    <t>Indostar Capital Fin</t>
  </si>
  <si>
    <t>Pioneer Emb.</t>
  </si>
  <si>
    <t>+ 2.10</t>
  </si>
  <si>
    <t>Kotak Mahindra Bank</t>
  </si>
  <si>
    <t>MOIL Ltd.</t>
  </si>
  <si>
    <t>Cholamandalam Invest</t>
  </si>
  <si>
    <t>+ 2.09</t>
  </si>
  <si>
    <t>HUDCO</t>
  </si>
  <si>
    <t>Persistent Systems</t>
  </si>
  <si>
    <t>+ 2.08</t>
  </si>
  <si>
    <t>Ashok Leyland</t>
  </si>
  <si>
    <t>Harita Seating Syst.</t>
  </si>
  <si>
    <t>General Ins. Corp.</t>
  </si>
  <si>
    <t>+ 2.07</t>
  </si>
  <si>
    <t>Scandent Imaging</t>
  </si>
  <si>
    <t>A-1 Acid</t>
  </si>
  <si>
    <t>Morgan Ventures Ltd.</t>
  </si>
  <si>
    <t>+ 2.06</t>
  </si>
  <si>
    <t>Padmalaya Tele</t>
  </si>
  <si>
    <t>Walchandnagar</t>
  </si>
  <si>
    <t>Digicontent</t>
  </si>
  <si>
    <t>+ 2.05</t>
  </si>
  <si>
    <t>Ador Welding Ltd.</t>
  </si>
  <si>
    <t>Britannia Ind.</t>
  </si>
  <si>
    <t>NCL Industries</t>
  </si>
  <si>
    <t>Atlas Jewellery</t>
  </si>
  <si>
    <t>Orient Tradelink</t>
  </si>
  <si>
    <t>+ 2.04</t>
  </si>
  <si>
    <t>Radha Madhav Corpora</t>
  </si>
  <si>
    <t>Garden Reach Ship</t>
  </si>
  <si>
    <t>Jammu &amp; Kashmir Bank</t>
  </si>
  <si>
    <t>Hester Biosciences L</t>
  </si>
  <si>
    <t>+ 2.03</t>
  </si>
  <si>
    <t>Sandesh</t>
  </si>
  <si>
    <t>Kkalpana lndustries</t>
  </si>
  <si>
    <t>Mangalam Cement</t>
  </si>
  <si>
    <t>GAIL (India) Ltd.</t>
  </si>
  <si>
    <t>Ruby Mills</t>
  </si>
  <si>
    <t>+ 2.02</t>
  </si>
  <si>
    <t>Pitti Engineering</t>
  </si>
  <si>
    <t>Man Industries I</t>
  </si>
  <si>
    <t>Arihant Capital</t>
  </si>
  <si>
    <t>NIIT Ltd.</t>
  </si>
  <si>
    <t>+ 2.01</t>
  </si>
  <si>
    <t>JSL Industries</t>
  </si>
  <si>
    <t>ASM Technologies Ltd</t>
  </si>
  <si>
    <t>+ 2.00</t>
  </si>
  <si>
    <t>Hathway Bhawani Cabl</t>
  </si>
  <si>
    <t>Dredging Corpora</t>
  </si>
  <si>
    <t>A F Enterprises</t>
  </si>
  <si>
    <t>Rico Auto Inds.</t>
  </si>
  <si>
    <t>Systematix Corpo</t>
  </si>
  <si>
    <t>+ 1.99</t>
  </si>
  <si>
    <t>Cupid Ltd.</t>
  </si>
  <si>
    <t>IMP Powers</t>
  </si>
  <si>
    <t>Govind Rubber</t>
  </si>
  <si>
    <t>Sunshield Chemic</t>
  </si>
  <si>
    <t>Prismx Global Ventur</t>
  </si>
  <si>
    <t>Authum Investment</t>
  </si>
  <si>
    <t>Vivanza Biosciences</t>
  </si>
  <si>
    <t>+ 1.98</t>
  </si>
  <si>
    <t>Transglobe Foods</t>
  </si>
  <si>
    <t>Kovai Medical</t>
  </si>
  <si>
    <t>Ador Multiproduc</t>
  </si>
  <si>
    <t>Galaxy Surfacta.</t>
  </si>
  <si>
    <t>Vishal Fabrics Ltd.</t>
  </si>
  <si>
    <t>+ 1.97</t>
  </si>
  <si>
    <t>Rama Paper Mills</t>
  </si>
  <si>
    <t>Sunedison Infrastruc</t>
  </si>
  <si>
    <t>Affordable Robotic</t>
  </si>
  <si>
    <t>Standard Batteri</t>
  </si>
  <si>
    <t>Bella Casa Fashion &amp;</t>
  </si>
  <si>
    <t>National Alumini</t>
  </si>
  <si>
    <t>ARC Finance</t>
  </si>
  <si>
    <t>Engineers India</t>
  </si>
  <si>
    <t>+ 1.96</t>
  </si>
  <si>
    <t>Sam Industries L</t>
  </si>
  <si>
    <t>Bharat Immunolog</t>
  </si>
  <si>
    <t>+ 1.95</t>
  </si>
  <si>
    <t>Emmsons Internat</t>
  </si>
  <si>
    <t>Mehai Technology</t>
  </si>
  <si>
    <t>Balasore Alloys</t>
  </si>
  <si>
    <t>Pharmaids Pharma</t>
  </si>
  <si>
    <t>Artemis Medicare</t>
  </si>
  <si>
    <t>Keerthi Industries L</t>
  </si>
  <si>
    <t>Panth Infinity</t>
  </si>
  <si>
    <t>Citizen Infoline</t>
  </si>
  <si>
    <t>+ 1.94</t>
  </si>
  <si>
    <t>Hind. Zinc</t>
  </si>
  <si>
    <t>RRIL</t>
  </si>
  <si>
    <t>Spaceage Products</t>
  </si>
  <si>
    <t>Trans Freight Co</t>
  </si>
  <si>
    <t>Mahaan Foods Lim</t>
  </si>
  <si>
    <t>MSP Steel &amp; Power Lt</t>
  </si>
  <si>
    <t>KD Leisures</t>
  </si>
  <si>
    <t>Gilada Finance &amp;</t>
  </si>
  <si>
    <t>Pooja Entertainment</t>
  </si>
  <si>
    <t>+ 1.93</t>
  </si>
  <si>
    <t>Jay Bharat Marut</t>
  </si>
  <si>
    <t>InterGlobe Aviation</t>
  </si>
  <si>
    <t>Godrej Industries Lt</t>
  </si>
  <si>
    <t>+ 1.92</t>
  </si>
  <si>
    <t>NTC Industries</t>
  </si>
  <si>
    <t>Nectar Lifesciences</t>
  </si>
  <si>
    <t>Innovators Facade Sy</t>
  </si>
  <si>
    <t>Welspun Specialty</t>
  </si>
  <si>
    <t>+ 1.91</t>
  </si>
  <si>
    <t>C &amp; C Constructions</t>
  </si>
  <si>
    <t>Magadh Sugar &amp; Energ</t>
  </si>
  <si>
    <t>Premier Synth.</t>
  </si>
  <si>
    <t>3i Infotech</t>
  </si>
  <si>
    <t>J L Morison (India)</t>
  </si>
  <si>
    <t>Monarch Networth Cap</t>
  </si>
  <si>
    <t>Super Tannery</t>
  </si>
  <si>
    <t>Titan Securities</t>
  </si>
  <si>
    <t>Ambalal Sarabhai</t>
  </si>
  <si>
    <t>NHPC</t>
  </si>
  <si>
    <t>Wonderla Holidays Lt</t>
  </si>
  <si>
    <t>+ 1.90</t>
  </si>
  <si>
    <t>Sagarsoft (India)</t>
  </si>
  <si>
    <t>Svam Software Li</t>
  </si>
  <si>
    <t>MMTC Ltd.</t>
  </si>
  <si>
    <t>eClerx Services</t>
  </si>
  <si>
    <t>Expo Gas Contain</t>
  </si>
  <si>
    <t>+ 1.89</t>
  </si>
  <si>
    <t>Moongipa Capital</t>
  </si>
  <si>
    <t>Skyline Millars</t>
  </si>
  <si>
    <t>Chandni Machines</t>
  </si>
  <si>
    <t>Indoco Remedies</t>
  </si>
  <si>
    <t>+ 1.88</t>
  </si>
  <si>
    <t>Bhagyanagar Properti</t>
  </si>
  <si>
    <t>Anant Raj Global</t>
  </si>
  <si>
    <t>Uttam Sugar Mills</t>
  </si>
  <si>
    <t>Magma Fincorp Ltd.</t>
  </si>
  <si>
    <t>+ 1.87</t>
  </si>
  <si>
    <t>Shangar Decor</t>
  </si>
  <si>
    <t>Gothi Plascon</t>
  </si>
  <si>
    <t>Ganesh Housing</t>
  </si>
  <si>
    <t>Vedanta</t>
  </si>
  <si>
    <t>Kanel Industries</t>
  </si>
  <si>
    <t>Praj Industries</t>
  </si>
  <si>
    <t>Sangam Renewables</t>
  </si>
  <si>
    <t>Shivalik Bimetal</t>
  </si>
  <si>
    <t>Saffron Industries L</t>
  </si>
  <si>
    <t>+ 1.86</t>
  </si>
  <si>
    <t>Kabsons Industries</t>
  </si>
  <si>
    <t>Ashiana Agro Ind</t>
  </si>
  <si>
    <t>CDG Petchem</t>
  </si>
  <si>
    <t>+ 1.85</t>
  </si>
  <si>
    <t>Garware Poly.</t>
  </si>
  <si>
    <t>Jindal Leasefin</t>
  </si>
  <si>
    <t>Five X Tradecom</t>
  </si>
  <si>
    <t>L&amp;T Finance Holdings</t>
  </si>
  <si>
    <t>+ 1.84</t>
  </si>
  <si>
    <t>Unichem Labs</t>
  </si>
  <si>
    <t>Quint Digital Media</t>
  </si>
  <si>
    <t>+ 1.83</t>
  </si>
  <si>
    <t>Dolphin Medical</t>
  </si>
  <si>
    <t>Auro Labs</t>
  </si>
  <si>
    <t>Jaykay Enterprises L</t>
  </si>
  <si>
    <t>Lovable Lingerie Ltd</t>
  </si>
  <si>
    <t>Automotive Axles</t>
  </si>
  <si>
    <t>+ 1.82</t>
  </si>
  <si>
    <t>Pee Cee Cosma</t>
  </si>
  <si>
    <t>Aishwarya Tech.&amp;Tele</t>
  </si>
  <si>
    <t>Ebixcash World Money</t>
  </si>
  <si>
    <t>Indus Towers</t>
  </si>
  <si>
    <t>+ 1.81</t>
  </si>
  <si>
    <t>Anjani Finance Ltd.</t>
  </si>
  <si>
    <t>Key Corp Ltd.</t>
  </si>
  <si>
    <t>Usha Martin Ltd.</t>
  </si>
  <si>
    <t>SAL Automotive</t>
  </si>
  <si>
    <t>+ 1.80</t>
  </si>
  <si>
    <t>Regency Fincorp</t>
  </si>
  <si>
    <t>Sundaram Fasten.</t>
  </si>
  <si>
    <t>Reliance Power L</t>
  </si>
  <si>
    <t>NTPC</t>
  </si>
  <si>
    <t>Panacea Biotec L</t>
  </si>
  <si>
    <t>Angel Broking</t>
  </si>
  <si>
    <t>Indian Overseas</t>
  </si>
  <si>
    <t>Arnold Holdings</t>
  </si>
  <si>
    <t>+ 1.79</t>
  </si>
  <si>
    <t>Alankit</t>
  </si>
  <si>
    <t>Khadim India</t>
  </si>
  <si>
    <t>Prataap Snacks</t>
  </si>
  <si>
    <t>Hind. Petrol</t>
  </si>
  <si>
    <t>+ 1.78</t>
  </si>
  <si>
    <t>IL&amp;FS Engineering</t>
  </si>
  <si>
    <t>IDFC First Bank</t>
  </si>
  <si>
    <t>Tata Steel Long Prod</t>
  </si>
  <si>
    <t>Escorts Ltd.</t>
  </si>
  <si>
    <t>Gokaldas Exports</t>
  </si>
  <si>
    <t>+ 1.77</t>
  </si>
  <si>
    <t>H P Cotton Textiles</t>
  </si>
  <si>
    <t>Gujarat Pipavav Port</t>
  </si>
  <si>
    <t>Biocon</t>
  </si>
  <si>
    <t>Pfizer Ltd.</t>
  </si>
  <si>
    <t>JSW Steel</t>
  </si>
  <si>
    <t>+ 1.76</t>
  </si>
  <si>
    <t>Page Industries Ltd.</t>
  </si>
  <si>
    <t>Syncom Formul.</t>
  </si>
  <si>
    <t>Svarnim Trade Udyog</t>
  </si>
  <si>
    <t>Vidhi Specialty Food</t>
  </si>
  <si>
    <t>Sakthi Finance</t>
  </si>
  <si>
    <t>+ 1.75</t>
  </si>
  <si>
    <t>7NR Retail Ltd.</t>
  </si>
  <si>
    <t>Talbros Auto.</t>
  </si>
  <si>
    <t>+ 1.74</t>
  </si>
  <si>
    <t>Zee Entertainment En</t>
  </si>
  <si>
    <t>Global Capital Mark</t>
  </si>
  <si>
    <t>Keltech Energies</t>
  </si>
  <si>
    <t>Jagsonpal Pharma</t>
  </si>
  <si>
    <t>Vascon Engineers Ltd</t>
  </si>
  <si>
    <t>Bhansali Engg.Po</t>
  </si>
  <si>
    <t>+ 1.73</t>
  </si>
  <si>
    <t>Steel Authority</t>
  </si>
  <si>
    <t>Pioneer Distille</t>
  </si>
  <si>
    <t>PNB Housing Finance</t>
  </si>
  <si>
    <t>Dai Ichi Karkari</t>
  </si>
  <si>
    <t>Mahaveer Infoway Ltd</t>
  </si>
  <si>
    <t>+ 1.72</t>
  </si>
  <si>
    <t>Asahi Songwon Colors</t>
  </si>
  <si>
    <t>Esaar (India) Li</t>
  </si>
  <si>
    <t>Hindustan Media Vent</t>
  </si>
  <si>
    <t>IFGL Refractories</t>
  </si>
  <si>
    <t>Himachal Fibres</t>
  </si>
  <si>
    <t>Saint-Gobain Sekurit</t>
  </si>
  <si>
    <t>+ 1.71</t>
  </si>
  <si>
    <t>Calcom Vision</t>
  </si>
  <si>
    <t>Bengal &amp; Assam Compa</t>
  </si>
  <si>
    <t>Voltamp Transformers</t>
  </si>
  <si>
    <t>Sambandam Spinni</t>
  </si>
  <si>
    <t>GMR Infrastructure L</t>
  </si>
  <si>
    <t>FACT</t>
  </si>
  <si>
    <t>+ 1.70</t>
  </si>
  <si>
    <t>Goyal Associates</t>
  </si>
  <si>
    <t>Jindal St &amp; Pwr</t>
  </si>
  <si>
    <t>Schaeffler India</t>
  </si>
  <si>
    <t>BASF India Lt</t>
  </si>
  <si>
    <t>+ 1.69</t>
  </si>
  <si>
    <t>PNC Infratech</t>
  </si>
  <si>
    <t>Intl. Combustion</t>
  </si>
  <si>
    <t>Suraj Products Ltd.</t>
  </si>
  <si>
    <t>Bombay Burmah</t>
  </si>
  <si>
    <t>Heidelberg Cement In</t>
  </si>
  <si>
    <t>+ 1.68</t>
  </si>
  <si>
    <t>TIL Ltd.</t>
  </si>
  <si>
    <t>Pagaria Energy</t>
  </si>
  <si>
    <t>AXISCADES Technologi</t>
  </si>
  <si>
    <t>Spectra Industri</t>
  </si>
  <si>
    <t>Vedavaag Systems</t>
  </si>
  <si>
    <t>Albert David Ltd</t>
  </si>
  <si>
    <t>Satia Industries</t>
  </si>
  <si>
    <t>Equitas Holdings Ltd</t>
  </si>
  <si>
    <t>Grauer &amp; Weil</t>
  </si>
  <si>
    <t>Aban Offshore</t>
  </si>
  <si>
    <t>Den Networks Ltd.</t>
  </si>
  <si>
    <t>+ 1.67</t>
  </si>
  <si>
    <t>Mahanagar Gas</t>
  </si>
  <si>
    <t>Beardsell Ltd.</t>
  </si>
  <si>
    <t>IRB Infrastructure</t>
  </si>
  <si>
    <t>Voith Paper Fabrics</t>
  </si>
  <si>
    <t>+ 1.66</t>
  </si>
  <si>
    <t>Ind Renewable Energy</t>
  </si>
  <si>
    <t>Roto Pumps Ltd</t>
  </si>
  <si>
    <t>Repco Home Finance L</t>
  </si>
  <si>
    <t>Cranes Software Int.</t>
  </si>
  <si>
    <t>+ 1.65</t>
  </si>
  <si>
    <t>Tanfac Inds.</t>
  </si>
  <si>
    <t>Hind. Adhesives</t>
  </si>
  <si>
    <t>North Eastern Carry</t>
  </si>
  <si>
    <t>Sumitomo Chemical</t>
  </si>
  <si>
    <t>Salasar Techno Engin</t>
  </si>
  <si>
    <t>+ 1.63</t>
  </si>
  <si>
    <t>Dhanuka Agritech Ltd</t>
  </si>
  <si>
    <t>Ugro Capital</t>
  </si>
  <si>
    <t>+ 1.62</t>
  </si>
  <si>
    <t>Shyam Century Ferro</t>
  </si>
  <si>
    <t>Nelcast Ltd.</t>
  </si>
  <si>
    <t>+ 1.61</t>
  </si>
  <si>
    <t>Vishwaraj Sugar Ind</t>
  </si>
  <si>
    <t>Bampsl Securitie</t>
  </si>
  <si>
    <t>Godrej Consumer Prod</t>
  </si>
  <si>
    <t>Shalimar Productions</t>
  </si>
  <si>
    <t>Aurionpro Solutions</t>
  </si>
  <si>
    <t>Subex Ltd.</t>
  </si>
  <si>
    <t>Everest Industries L</t>
  </si>
  <si>
    <t>The Anup Engineering</t>
  </si>
  <si>
    <t>Maha. Scooters</t>
  </si>
  <si>
    <t>India Nippon Ele</t>
  </si>
  <si>
    <t>+ 1.60</t>
  </si>
  <si>
    <t>Mahindra EPC Irrigat</t>
  </si>
  <si>
    <t>Garnet International</t>
  </si>
  <si>
    <t>Voltas Ltd.</t>
  </si>
  <si>
    <t>+ 1.59</t>
  </si>
  <si>
    <t>T T Ltd.</t>
  </si>
  <si>
    <t>Scanpoint Geomatics</t>
  </si>
  <si>
    <t>Rupa &amp; Company L</t>
  </si>
  <si>
    <t>D B Realty Ltd.</t>
  </si>
  <si>
    <t>+ 1.58</t>
  </si>
  <si>
    <t>Lumax Inds.</t>
  </si>
  <si>
    <t>APM Industries</t>
  </si>
  <si>
    <t>The Ramco Cements</t>
  </si>
  <si>
    <t>+ 1.57</t>
  </si>
  <si>
    <t>Triveni Turbine</t>
  </si>
  <si>
    <t>Precision Wires</t>
  </si>
  <si>
    <t>Somany Ceramics Ltd.</t>
  </si>
  <si>
    <t>Mas Financial Servic</t>
  </si>
  <si>
    <t>JK Cement</t>
  </si>
  <si>
    <t>Panchmahal Steel</t>
  </si>
  <si>
    <t>+ 1.56</t>
  </si>
  <si>
    <t>Lykis L</t>
  </si>
  <si>
    <t>Hind Rectifiers</t>
  </si>
  <si>
    <t>Rishabh Digha St</t>
  </si>
  <si>
    <t>Shanti Educational I</t>
  </si>
  <si>
    <t>Gallantt Metal</t>
  </si>
  <si>
    <t>+ 1.55</t>
  </si>
  <si>
    <t>Simplex Infrastructu</t>
  </si>
  <si>
    <t>Thirani Projects</t>
  </si>
  <si>
    <t>+ 1.54</t>
  </si>
  <si>
    <t>Megasoft Ltd.</t>
  </si>
  <si>
    <t>Educomp Solutions</t>
  </si>
  <si>
    <t>Mirza International</t>
  </si>
  <si>
    <t>Wim Plast Ltd</t>
  </si>
  <si>
    <t>Granules India L</t>
  </si>
  <si>
    <t>Apollo Finvest</t>
  </si>
  <si>
    <t>Sangam India Ltd</t>
  </si>
  <si>
    <t>+ 1.53</t>
  </si>
  <si>
    <t>Spicejet Ltd.</t>
  </si>
  <si>
    <t>Avonmore Capital</t>
  </si>
  <si>
    <t>+ 1.52</t>
  </si>
  <si>
    <t>Southern Infosys</t>
  </si>
  <si>
    <t>Honeywell Automation</t>
  </si>
  <si>
    <t>Poly Medicure Lt</t>
  </si>
  <si>
    <t>Bajaj HindusthanSuga</t>
  </si>
  <si>
    <t>+ 1.51</t>
  </si>
  <si>
    <t>Electrotherm (In</t>
  </si>
  <si>
    <t>Benares Hotels</t>
  </si>
  <si>
    <t>Nyssa Corporation</t>
  </si>
  <si>
    <t>Zenith Exports L</t>
  </si>
  <si>
    <t>Pil Italica Lifestyl</t>
  </si>
  <si>
    <t>BSL Ltd</t>
  </si>
  <si>
    <t>+ 1.50</t>
  </si>
  <si>
    <t>Elantas Beck India L</t>
  </si>
  <si>
    <t>Transformers &amp; Recti</t>
  </si>
  <si>
    <t>+ 1.49</t>
  </si>
  <si>
    <t>IL&amp;FS Investment Man</t>
  </si>
  <si>
    <t>PetronetLNG</t>
  </si>
  <si>
    <t>Central Bank</t>
  </si>
  <si>
    <t>Zim Laboratories</t>
  </si>
  <si>
    <t>63 Moons Technologie</t>
  </si>
  <si>
    <t>Bharat Seats</t>
  </si>
  <si>
    <t>Bharat Road Network</t>
  </si>
  <si>
    <t>Alka India Ltd.</t>
  </si>
  <si>
    <t>Rossell India</t>
  </si>
  <si>
    <t>+ 1.48</t>
  </si>
  <si>
    <t>Cox &amp; Kings L</t>
  </si>
  <si>
    <t>Dhabriya Polywood</t>
  </si>
  <si>
    <t>+ 1.47</t>
  </si>
  <si>
    <t>Elgi Equipments</t>
  </si>
  <si>
    <t>Aditya Birla Money L</t>
  </si>
  <si>
    <t>AI Champdany Industr</t>
  </si>
  <si>
    <t>Tata Steel BSL</t>
  </si>
  <si>
    <t>+ 1.46</t>
  </si>
  <si>
    <t>Manorama Industries</t>
  </si>
  <si>
    <t>SIS Ltd</t>
  </si>
  <si>
    <t>Mazagon Dock Ship</t>
  </si>
  <si>
    <t>ADC India Communicat</t>
  </si>
  <si>
    <t>JBM Auto</t>
  </si>
  <si>
    <t>Sri Krishna Construc</t>
  </si>
  <si>
    <t>+ 1.45</t>
  </si>
  <si>
    <t>Somi Conveyor Beltin</t>
  </si>
  <si>
    <t>Polyspin Exports</t>
  </si>
  <si>
    <t>Patel Engg. Ltd.</t>
  </si>
  <si>
    <t>+ 1.44</t>
  </si>
  <si>
    <t>The Yamuna Syndicate</t>
  </si>
  <si>
    <t>Emmbi Industries</t>
  </si>
  <si>
    <t>Time Technoplast Ltd</t>
  </si>
  <si>
    <t>+ 1.43</t>
  </si>
  <si>
    <t>Indian Terrain Fashi</t>
  </si>
  <si>
    <t>Rubfila Internationa</t>
  </si>
  <si>
    <t>+ 1.42</t>
  </si>
  <si>
    <t>Kansai Nerolac Paint</t>
  </si>
  <si>
    <t>Dhenu Buildcon Infra</t>
  </si>
  <si>
    <t>+ 1.41</t>
  </si>
  <si>
    <t>Burger King India</t>
  </si>
  <si>
    <t>Mercantile Ventures</t>
  </si>
  <si>
    <t>Piccadily Sugar</t>
  </si>
  <si>
    <t>Meyer Apparel L</t>
  </si>
  <si>
    <t>Mrs. Bectors Food Sp</t>
  </si>
  <si>
    <t>Poddar Pigments</t>
  </si>
  <si>
    <t>+ 1.40</t>
  </si>
  <si>
    <t>Gandhi Special</t>
  </si>
  <si>
    <t>Universal Office Aut</t>
  </si>
  <si>
    <t>D-Link (India)</t>
  </si>
  <si>
    <t>Tamboli Capital</t>
  </si>
  <si>
    <t>+ 1.39</t>
  </si>
  <si>
    <t>Ejecta Marketing</t>
  </si>
  <si>
    <t>Tata Metaliks</t>
  </si>
  <si>
    <t>Universus Photo Imag</t>
  </si>
  <si>
    <t>Shipping Corpn.</t>
  </si>
  <si>
    <t>Vimta Labs Ltd.</t>
  </si>
  <si>
    <t>SMS Lifesciences Ind</t>
  </si>
  <si>
    <t>Kama Holdings Ltd.</t>
  </si>
  <si>
    <t>+ 1.38</t>
  </si>
  <si>
    <t>Radhey Trade Holding</t>
  </si>
  <si>
    <t>Riga Sugar Company</t>
  </si>
  <si>
    <t>Panasonic Carbon Ind</t>
  </si>
  <si>
    <t>Bandhan Bank</t>
  </si>
  <si>
    <t>+ 1.36</t>
  </si>
  <si>
    <t>Anand Rayons</t>
  </si>
  <si>
    <t>Suryaamba Spinning M</t>
  </si>
  <si>
    <t>+ 1.35</t>
  </si>
  <si>
    <t>IMEC Services</t>
  </si>
  <si>
    <t>L&amp;T Technology Serv</t>
  </si>
  <si>
    <t>Munjal Auto Industr.</t>
  </si>
  <si>
    <t>Poona Dal &amp; Oil</t>
  </si>
  <si>
    <t>Bata India</t>
  </si>
  <si>
    <t>+ 1.34</t>
  </si>
  <si>
    <t>Birla Cable</t>
  </si>
  <si>
    <t>Shri Jagdamba Poly</t>
  </si>
  <si>
    <t>Adani Ports &amp; Speci</t>
  </si>
  <si>
    <t>BF Utilities Ltd.</t>
  </si>
  <si>
    <t>WPIL Ltd.</t>
  </si>
  <si>
    <t>+ 1.33</t>
  </si>
  <si>
    <t>Jaysynth Dystuff</t>
  </si>
  <si>
    <t>Sheela Foam</t>
  </si>
  <si>
    <t>Jump Networks</t>
  </si>
  <si>
    <t>Hathway Cable &amp; Data</t>
  </si>
  <si>
    <t>+ 1.32</t>
  </si>
  <si>
    <t>Power Finance Co</t>
  </si>
  <si>
    <t>Coforge</t>
  </si>
  <si>
    <t>Bengal Tea &amp; Fab</t>
  </si>
  <si>
    <t>Refex Industries</t>
  </si>
  <si>
    <t>+ 1.31</t>
  </si>
  <si>
    <t>Saras.Commercial</t>
  </si>
  <si>
    <t>Polyplex Corpn.</t>
  </si>
  <si>
    <t>Safari Indus.</t>
  </si>
  <si>
    <t>Veer Energy &amp; Infras</t>
  </si>
  <si>
    <t>Vegetable Products</t>
  </si>
  <si>
    <t>Mayur Uniquoters</t>
  </si>
  <si>
    <t>+ 1.30</t>
  </si>
  <si>
    <t>CARE Ratings</t>
  </si>
  <si>
    <t>Hero MotoCorp</t>
  </si>
  <si>
    <t>+ 1.29</t>
  </si>
  <si>
    <t>Dalmia Bharat L</t>
  </si>
  <si>
    <t>GRP L</t>
  </si>
  <si>
    <t>Imagicaaworld Entert</t>
  </si>
  <si>
    <t>+ 1.28</t>
  </si>
  <si>
    <t>Technocraft Industri</t>
  </si>
  <si>
    <t>United Spirits</t>
  </si>
  <si>
    <t>+ 1.27</t>
  </si>
  <si>
    <t>Super Spinning</t>
  </si>
  <si>
    <t>Jindal Stainless (Hi</t>
  </si>
  <si>
    <t>Orbit Exports Li</t>
  </si>
  <si>
    <t>+ 1.26</t>
  </si>
  <si>
    <t>Arcee Industries</t>
  </si>
  <si>
    <t>Avadh Sugar &amp; Energy</t>
  </si>
  <si>
    <t>+ 1.25</t>
  </si>
  <si>
    <t>Maithan Alloys Ltd.</t>
  </si>
  <si>
    <t>Frontier Springs</t>
  </si>
  <si>
    <t>Ion Exchange (India)</t>
  </si>
  <si>
    <t>Kamat Hotels (In</t>
  </si>
  <si>
    <t>Gammon Infrastructur</t>
  </si>
  <si>
    <t>Vardhman Special St</t>
  </si>
  <si>
    <t>+ 1.24</t>
  </si>
  <si>
    <t>T Nadu Newsprint</t>
  </si>
  <si>
    <t>Spandana Sphoorty Fi</t>
  </si>
  <si>
    <t>Control Print Ltd.</t>
  </si>
  <si>
    <t>Rossari Biotech</t>
  </si>
  <si>
    <t>HCL Infosystem</t>
  </si>
  <si>
    <t>+ 1.23</t>
  </si>
  <si>
    <t>Foseco India Lim</t>
  </si>
  <si>
    <t>+ 1.22</t>
  </si>
  <si>
    <t>SREI Infrastructure</t>
  </si>
  <si>
    <t>Munjal Showa Ltd</t>
  </si>
  <si>
    <t>Orient Paper</t>
  </si>
  <si>
    <t>Conart Engineers</t>
  </si>
  <si>
    <t>Alkem Laboratories</t>
  </si>
  <si>
    <t>Aarnav Fashions</t>
  </si>
  <si>
    <t>+ 1.21</t>
  </si>
  <si>
    <t>National Fertilizers</t>
  </si>
  <si>
    <t>Aro Granite Indu</t>
  </si>
  <si>
    <t>Steel ExchangeIndia</t>
  </si>
  <si>
    <t>NGL Fine-Chem Li</t>
  </si>
  <si>
    <t>+ 1.20</t>
  </si>
  <si>
    <t>Country Club Hospita</t>
  </si>
  <si>
    <t>Gulf Oil Lubricants</t>
  </si>
  <si>
    <t>Grindwell Norton</t>
  </si>
  <si>
    <t>+ 1.19</t>
  </si>
  <si>
    <t>DB Corp</t>
  </si>
  <si>
    <t>Linde India</t>
  </si>
  <si>
    <t>Hind. Composites</t>
  </si>
  <si>
    <t>+ 1.18</t>
  </si>
  <si>
    <t>BNK Capital Mark</t>
  </si>
  <si>
    <t>+ 1.17</t>
  </si>
  <si>
    <t>MindTree Ltd.</t>
  </si>
  <si>
    <t>Jyoti Resins &amp; A</t>
  </si>
  <si>
    <t>Gabriel India</t>
  </si>
  <si>
    <t>Delton Cables</t>
  </si>
  <si>
    <t>Nitta Gelatin India</t>
  </si>
  <si>
    <t>Avenue Supermarts</t>
  </si>
  <si>
    <t>Gloster L</t>
  </si>
  <si>
    <t>Richa Industries Ltd</t>
  </si>
  <si>
    <t>+ 1.16</t>
  </si>
  <si>
    <t>Lancer Container Lin</t>
  </si>
  <si>
    <t>JM Financial Ltd.</t>
  </si>
  <si>
    <t>Selan Exploratio</t>
  </si>
  <si>
    <t>Bajaj Finserv Ltd.</t>
  </si>
  <si>
    <t>+ 1.15</t>
  </si>
  <si>
    <t>Power Mech Projects</t>
  </si>
  <si>
    <t>Indo Borax</t>
  </si>
  <si>
    <t>Muthoot Finance</t>
  </si>
  <si>
    <t>+ 1.14</t>
  </si>
  <si>
    <t>Reliance Ind.Inf</t>
  </si>
  <si>
    <t>ABM Knowledgeware</t>
  </si>
  <si>
    <t>Sika Interplant</t>
  </si>
  <si>
    <t>+ 1.13</t>
  </si>
  <si>
    <t>Gujarat Fluorochem</t>
  </si>
  <si>
    <t>Diamines &amp; Chem.</t>
  </si>
  <si>
    <t>Anant Raj Ltd.</t>
  </si>
  <si>
    <t>DCM Shriram</t>
  </si>
  <si>
    <t>Omax Auto</t>
  </si>
  <si>
    <t>+ 1.11</t>
  </si>
  <si>
    <t>Westlife Development</t>
  </si>
  <si>
    <t>Digjam L</t>
  </si>
  <si>
    <t>Welspun India</t>
  </si>
  <si>
    <t>Share India Securiti</t>
  </si>
  <si>
    <t>NCC</t>
  </si>
  <si>
    <t>+ 1.10</t>
  </si>
  <si>
    <t>Sree Rayalaseema Hi-</t>
  </si>
  <si>
    <t>SE Power</t>
  </si>
  <si>
    <t>+ 1.09</t>
  </si>
  <si>
    <t>Varun Beverages Ltd.</t>
  </si>
  <si>
    <t>Media Matrix Worldwi</t>
  </si>
  <si>
    <t>Mahindra Logistics L</t>
  </si>
  <si>
    <t>+ 1.08</t>
  </si>
  <si>
    <t>TV Today Network Ltd</t>
  </si>
  <si>
    <t>Indian Oil Corp</t>
  </si>
  <si>
    <t>Udaipur Cement Works</t>
  </si>
  <si>
    <t>Alexander Stamps</t>
  </si>
  <si>
    <t>Lupin Ltd.</t>
  </si>
  <si>
    <t>+ 1.07</t>
  </si>
  <si>
    <t>RDB Rasayans Ltd.</t>
  </si>
  <si>
    <t>L&amp;T</t>
  </si>
  <si>
    <t>Asian Hotels (West)</t>
  </si>
  <si>
    <t>Hilton Metal Forging</t>
  </si>
  <si>
    <t>Adani Total Gas</t>
  </si>
  <si>
    <t>M K Exim (India) L</t>
  </si>
  <si>
    <t>AVT Natural Prod</t>
  </si>
  <si>
    <t>RattanIndia Infra</t>
  </si>
  <si>
    <t>20 Microns Ltd.</t>
  </si>
  <si>
    <t>Swan Energy Ltd.</t>
  </si>
  <si>
    <t>+ 1.06</t>
  </si>
  <si>
    <t>ITC Ltd.</t>
  </si>
  <si>
    <t>Omaxe Ltd.</t>
  </si>
  <si>
    <t>Apollo Pipes</t>
  </si>
  <si>
    <t>Cineline India</t>
  </si>
  <si>
    <t>Tata Steel</t>
  </si>
  <si>
    <t>+ 1.05</t>
  </si>
  <si>
    <t>Maruti Suzuki India</t>
  </si>
  <si>
    <t>India Tourism De</t>
  </si>
  <si>
    <t>Max India</t>
  </si>
  <si>
    <t>Sambhaav Media Ltd.</t>
  </si>
  <si>
    <t>Natco Pharma</t>
  </si>
  <si>
    <t>Lux Industries</t>
  </si>
  <si>
    <t>Transpek Indus.</t>
  </si>
  <si>
    <t>SPIC</t>
  </si>
  <si>
    <t>+ 1.04</t>
  </si>
  <si>
    <t>INEOS Styrolution</t>
  </si>
  <si>
    <t>Kothari Ferment.</t>
  </si>
  <si>
    <t>Chaman Lal Setia</t>
  </si>
  <si>
    <t>GTPL Hathway</t>
  </si>
  <si>
    <t>Havells India</t>
  </si>
  <si>
    <t>Taneja Aerospace</t>
  </si>
  <si>
    <t>KM Sugar Mills</t>
  </si>
  <si>
    <t>+ 1.03</t>
  </si>
  <si>
    <t>Responsive Industrie</t>
  </si>
  <si>
    <t>Thangamayil Jeweller</t>
  </si>
  <si>
    <t>Torrent Pharmac</t>
  </si>
  <si>
    <t>Tyche Industries</t>
  </si>
  <si>
    <t>+ 1.02</t>
  </si>
  <si>
    <t>Laurus Labs</t>
  </si>
  <si>
    <t>Acrow India</t>
  </si>
  <si>
    <t>Hatsun Agro Prod</t>
  </si>
  <si>
    <t>Bharat Electroni</t>
  </si>
  <si>
    <t>+ 1.01</t>
  </si>
  <si>
    <t>Stovec Indus.</t>
  </si>
  <si>
    <t>Spectrum Foods</t>
  </si>
  <si>
    <t>Aditya Birla Capital</t>
  </si>
  <si>
    <t>Aarti Ind. Ltd</t>
  </si>
  <si>
    <t>Srikalahasthi Pipes</t>
  </si>
  <si>
    <t>Swaraj Engines</t>
  </si>
  <si>
    <t>+ 1.00</t>
  </si>
  <si>
    <t>Ambuja Cements Ltd.</t>
  </si>
  <si>
    <t>3M India Ltd.</t>
  </si>
  <si>
    <t>Raj Television Netwo</t>
  </si>
  <si>
    <t>HDIL</t>
  </si>
  <si>
    <t>Arman Financial Serv</t>
  </si>
  <si>
    <t>Godfrey Phillips Ind</t>
  </si>
  <si>
    <t>+ 0.99</t>
  </si>
  <si>
    <t>Compuage Infocom Ltd</t>
  </si>
  <si>
    <t>Parle Industries</t>
  </si>
  <si>
    <t>Dhani Services</t>
  </si>
  <si>
    <t>Lakshmi Elect.</t>
  </si>
  <si>
    <t>GujaratStatePetronet</t>
  </si>
  <si>
    <t>Guj. Industries</t>
  </si>
  <si>
    <t>K P Energy Ltd.</t>
  </si>
  <si>
    <t>Rodium Realty L</t>
  </si>
  <si>
    <t>Pidilite Inds.</t>
  </si>
  <si>
    <t>+ 0.98</t>
  </si>
  <si>
    <t>Taj GVK Hotels &amp; Res</t>
  </si>
  <si>
    <t>Gujarat Apollo Indus</t>
  </si>
  <si>
    <t>Ravalgaon Sugar</t>
  </si>
  <si>
    <t>HEG Ltd.</t>
  </si>
  <si>
    <t>LIC Housing Fi</t>
  </si>
  <si>
    <t>+ 0.97</t>
  </si>
  <si>
    <t>Peninsula Land L</t>
  </si>
  <si>
    <t>Mangalam Organics</t>
  </si>
  <si>
    <t>Allcargo Logistics</t>
  </si>
  <si>
    <t>Mawana Sugars Ltd.</t>
  </si>
  <si>
    <t>Lakshmi Machines</t>
  </si>
  <si>
    <t>+ 0.96</t>
  </si>
  <si>
    <t>Rolta India</t>
  </si>
  <si>
    <t>Welspun Corp</t>
  </si>
  <si>
    <t>Alok Industries Ltd.</t>
  </si>
  <si>
    <t>S H Kelkar &amp; Company</t>
  </si>
  <si>
    <t>La Opala RG Ltd.</t>
  </si>
  <si>
    <t>Ugar Sugar Works</t>
  </si>
  <si>
    <t>Wendt India</t>
  </si>
  <si>
    <t>Kesar Terminals &amp; In</t>
  </si>
  <si>
    <t>+ 0.95</t>
  </si>
  <si>
    <t>SBC Exports</t>
  </si>
  <si>
    <t>Banaras Beads Li</t>
  </si>
  <si>
    <t>Prozone Intu Propert</t>
  </si>
  <si>
    <t>Sanwaria Consumer</t>
  </si>
  <si>
    <t>+ 0.94</t>
  </si>
  <si>
    <t>Dhanlaxmi Bank</t>
  </si>
  <si>
    <t>Oceanic Foods</t>
  </si>
  <si>
    <t>Tarmat L</t>
  </si>
  <si>
    <t>Bambino Agro Ind</t>
  </si>
  <si>
    <t>King Infra Ventures</t>
  </si>
  <si>
    <t>Tilak Ventures L</t>
  </si>
  <si>
    <t>+ 0.93</t>
  </si>
  <si>
    <t>Super Crop Safe</t>
  </si>
  <si>
    <t>Chemfab Alkalis</t>
  </si>
  <si>
    <t>Piramal Enterprises</t>
  </si>
  <si>
    <t>+ 0.92</t>
  </si>
  <si>
    <t>KPR Mill Ltd.</t>
  </si>
  <si>
    <t>G G Engineering</t>
  </si>
  <si>
    <t>Andrew Yule &amp; Co</t>
  </si>
  <si>
    <t>Seacoast Shipping Se</t>
  </si>
  <si>
    <t>YES Bank Ltd.</t>
  </si>
  <si>
    <t>Shree Digvijay</t>
  </si>
  <si>
    <t>+ 0.91</t>
  </si>
  <si>
    <t>Cosco (India)</t>
  </si>
  <si>
    <t>Jindal Saw</t>
  </si>
  <si>
    <t>Hind. NationalGl</t>
  </si>
  <si>
    <t>Nucleus Software</t>
  </si>
  <si>
    <t>Ruchira Papers Ltd.</t>
  </si>
  <si>
    <t>Bharat Dynamics</t>
  </si>
  <si>
    <t>CCL Products India</t>
  </si>
  <si>
    <t>JTL Infra L</t>
  </si>
  <si>
    <t>Birla Corporation Lt</t>
  </si>
  <si>
    <t>+ 0.90</t>
  </si>
  <si>
    <t>ICRA Ltd.</t>
  </si>
  <si>
    <t>Balmer Lawrie &amp;</t>
  </si>
  <si>
    <t>Au Small Finance Ban</t>
  </si>
  <si>
    <t>Cords Cable Industri</t>
  </si>
  <si>
    <t>Zee Learn Ltd.</t>
  </si>
  <si>
    <t>+ 0.89</t>
  </si>
  <si>
    <t>Lincoln Pharmace</t>
  </si>
  <si>
    <t>Ajanta Pharma Lt</t>
  </si>
  <si>
    <t>Jiya Eco Products Lt</t>
  </si>
  <si>
    <t>+ 0.88</t>
  </si>
  <si>
    <t>Take Solutions Ltd.</t>
  </si>
  <si>
    <t>Shilchar Technologie</t>
  </si>
  <si>
    <t>Aegis Logistics Ltd.</t>
  </si>
  <si>
    <t>+ 0.87</t>
  </si>
  <si>
    <t>Ganesh Benzoplas</t>
  </si>
  <si>
    <t>Vinyl Chemicals</t>
  </si>
  <si>
    <t>Intrasoft Technologi</t>
  </si>
  <si>
    <t>Shreyas Shipping &amp; L</t>
  </si>
  <si>
    <t>Bajaj Holdings &amp; Inv</t>
  </si>
  <si>
    <t>Sagar Cements</t>
  </si>
  <si>
    <t>+ 0.86</t>
  </si>
  <si>
    <t>Smartlink Holdings</t>
  </si>
  <si>
    <t>Bemco Hydraulics</t>
  </si>
  <si>
    <t>Kokuyo Camlin</t>
  </si>
  <si>
    <t>J B Chemicals &amp; Phar</t>
  </si>
  <si>
    <t>Genesys Int.Corp.</t>
  </si>
  <si>
    <t>Hindustan Aeronautic</t>
  </si>
  <si>
    <t>Va Tech Wabag</t>
  </si>
  <si>
    <t>+ 0.85</t>
  </si>
  <si>
    <t>Supreme Holdings</t>
  </si>
  <si>
    <t>KPIT Technologies</t>
  </si>
  <si>
    <t>Veljan Denison</t>
  </si>
  <si>
    <t>+ 0.84</t>
  </si>
  <si>
    <t>APM Finvest</t>
  </si>
  <si>
    <t>JK Paper Ltd.</t>
  </si>
  <si>
    <t>Econo Trade (India)</t>
  </si>
  <si>
    <t>RGF Capital Markets</t>
  </si>
  <si>
    <t>+ 0.83</t>
  </si>
  <si>
    <t>SPL Industries L</t>
  </si>
  <si>
    <t>Indraprastha Med</t>
  </si>
  <si>
    <t>Star Paper Mills</t>
  </si>
  <si>
    <t>Subros Ltd.</t>
  </si>
  <si>
    <t>High Energy Bat.</t>
  </si>
  <si>
    <t>UCO Bank</t>
  </si>
  <si>
    <t>Universal Cables</t>
  </si>
  <si>
    <t>+ 0.82</t>
  </si>
  <si>
    <t>Indo Count Inds.</t>
  </si>
  <si>
    <t>Sun Pharma Advanced</t>
  </si>
  <si>
    <t>CMI L</t>
  </si>
  <si>
    <t>Tata Consumer Produc</t>
  </si>
  <si>
    <t>+ 0.81</t>
  </si>
  <si>
    <t>IRCTC</t>
  </si>
  <si>
    <t>+ 0.80</t>
  </si>
  <si>
    <t>Anjani Portland</t>
  </si>
  <si>
    <t>EID Parry</t>
  </si>
  <si>
    <t>+ 0.79</t>
  </si>
  <si>
    <t>Vippy Spinpro</t>
  </si>
  <si>
    <t>Apollo Micro Systems</t>
  </si>
  <si>
    <t>GPT Infraprojects</t>
  </si>
  <si>
    <t>Oracle Financial Ser</t>
  </si>
  <si>
    <t>Eicher Motors</t>
  </si>
  <si>
    <t>+ 0.78</t>
  </si>
  <si>
    <t>EPL L</t>
  </si>
  <si>
    <t>Fine Organic Indus</t>
  </si>
  <si>
    <t>Bloom Dekor Ltd.</t>
  </si>
  <si>
    <t>Ind-Agiv Commerce</t>
  </si>
  <si>
    <t>Bombay Cycle</t>
  </si>
  <si>
    <t>SRF Ltd.</t>
  </si>
  <si>
    <t>+ 0.77</t>
  </si>
  <si>
    <t>Kriti Nutrients</t>
  </si>
  <si>
    <t>Forbes &amp; Company Ltd</t>
  </si>
  <si>
    <t>Waterbase Ltd.</t>
  </si>
  <si>
    <t>Wallfort Financi</t>
  </si>
  <si>
    <t>Jinaams Dress</t>
  </si>
  <si>
    <t>GIC Housing Fi</t>
  </si>
  <si>
    <t>Phyto Chem (Indi</t>
  </si>
  <si>
    <t>+ 0.76</t>
  </si>
  <si>
    <t>Bharat Petroleum</t>
  </si>
  <si>
    <t>HOV Services Ltd.</t>
  </si>
  <si>
    <t>Cantabil Retail Indi</t>
  </si>
  <si>
    <t>Innovative Ideals</t>
  </si>
  <si>
    <t>Piccadily Agro I</t>
  </si>
  <si>
    <t>Visaka Indus.</t>
  </si>
  <si>
    <t>KSB</t>
  </si>
  <si>
    <t>+ 0.75</t>
  </si>
  <si>
    <t>Wheels India Ltd.</t>
  </si>
  <si>
    <t>NDTV</t>
  </si>
  <si>
    <t>Chandni Textiles Eng</t>
  </si>
  <si>
    <t>Accelya Solutions In</t>
  </si>
  <si>
    <t>Empire Inds.</t>
  </si>
  <si>
    <t>Gujarat Cotex Ltd.</t>
  </si>
  <si>
    <t>P&amp;G Health</t>
  </si>
  <si>
    <t>+ 0.74</t>
  </si>
  <si>
    <t>Aarey Drugs &amp; Ph</t>
  </si>
  <si>
    <t>EIH Associated</t>
  </si>
  <si>
    <t>Hind. Tin Works</t>
  </si>
  <si>
    <t>Orient Green Power C</t>
  </si>
  <si>
    <t>Sandur M &amp; I Ore</t>
  </si>
  <si>
    <t>+ 0.73</t>
  </si>
  <si>
    <t>Tainwala Chem.</t>
  </si>
  <si>
    <t>Vodafone Idea L</t>
  </si>
  <si>
    <t>Tribhovandas Bhimji</t>
  </si>
  <si>
    <t>Hind.ConstructionCo.</t>
  </si>
  <si>
    <t>+ 0.72</t>
  </si>
  <si>
    <t>Ambika Cotton Mi</t>
  </si>
  <si>
    <t>Heritage Foods</t>
  </si>
  <si>
    <t>FAZE THREE Autofab</t>
  </si>
  <si>
    <t>Disa India Ltd.</t>
  </si>
  <si>
    <t>Emami Paper Mill</t>
  </si>
  <si>
    <t>MphasiS Ltd.</t>
  </si>
  <si>
    <t>+ 0.71</t>
  </si>
  <si>
    <t>ITI</t>
  </si>
  <si>
    <t>Tilaknagar Industrie</t>
  </si>
  <si>
    <t>Tanla Platforms</t>
  </si>
  <si>
    <t>Shervani Ind.Syn</t>
  </si>
  <si>
    <t>+ 0.70</t>
  </si>
  <si>
    <t>Elnet Technologi</t>
  </si>
  <si>
    <t>Pudumjee Paper Produ</t>
  </si>
  <si>
    <t>Ador Fontech Ltd</t>
  </si>
  <si>
    <t>+ 0.69</t>
  </si>
  <si>
    <t>Mishra Dhatu Nig</t>
  </si>
  <si>
    <t>Camlin Fine Sciences</t>
  </si>
  <si>
    <t>HLE Glasscoat</t>
  </si>
  <si>
    <t>+ 0.68</t>
  </si>
  <si>
    <t>Ashnoor Textile</t>
  </si>
  <si>
    <t>+ 0.67</t>
  </si>
  <si>
    <t>ASI Industries</t>
  </si>
  <si>
    <t>Explicit Finance</t>
  </si>
  <si>
    <t>+ 0.66</t>
  </si>
  <si>
    <t>Globus Spirits Ltd.</t>
  </si>
  <si>
    <t>Jayshree Tea</t>
  </si>
  <si>
    <t>Lakshmi Mill Co.</t>
  </si>
  <si>
    <t>+ 0.65</t>
  </si>
  <si>
    <t>Binny Ltd.</t>
  </si>
  <si>
    <t>Cosyn L</t>
  </si>
  <si>
    <t>Jindal Stainless</t>
  </si>
  <si>
    <t>Blue Star</t>
  </si>
  <si>
    <t>+ 0.64</t>
  </si>
  <si>
    <t>Grasim Inds.</t>
  </si>
  <si>
    <t>MCX</t>
  </si>
  <si>
    <t>Chalet Hotels L</t>
  </si>
  <si>
    <t>Oriental Hotels</t>
  </si>
  <si>
    <t>Clariant Chemicals (</t>
  </si>
  <si>
    <t>Foods &amp; Inns</t>
  </si>
  <si>
    <t>Dhanvarsha Finvest</t>
  </si>
  <si>
    <t>+ 0.63</t>
  </si>
  <si>
    <t>Keynote Financial</t>
  </si>
  <si>
    <t>UltraTech Cement</t>
  </si>
  <si>
    <t>BMW Industries</t>
  </si>
  <si>
    <t>RattanIndia Power</t>
  </si>
  <si>
    <t>Dynemic Products</t>
  </si>
  <si>
    <t>Mold-Tek Packaging</t>
  </si>
  <si>
    <t>Essar Shipping</t>
  </si>
  <si>
    <t>+ 0.62</t>
  </si>
  <si>
    <t>IST Ltd.</t>
  </si>
  <si>
    <t>TRF Ltd</t>
  </si>
  <si>
    <t>BDH Industries</t>
  </si>
  <si>
    <t>+ 0.61</t>
  </si>
  <si>
    <t>Narmada Gelatines Lt</t>
  </si>
  <si>
    <t>JK Agri Genetics Ltd</t>
  </si>
  <si>
    <t>GNA Axles</t>
  </si>
  <si>
    <t>Artefact Projects Lt</t>
  </si>
  <si>
    <t>Dharamsi Morar.</t>
  </si>
  <si>
    <t>Stylam Industries</t>
  </si>
  <si>
    <t>Cubex Tubings Lt</t>
  </si>
  <si>
    <t>+ 0.60</t>
  </si>
  <si>
    <t>Xpro India Ltd.</t>
  </si>
  <si>
    <t>TVS Motor Co. Ltd.</t>
  </si>
  <si>
    <t>Captain Polyplast L</t>
  </si>
  <si>
    <t>Solar Industries Ind</t>
  </si>
  <si>
    <t>TTK Prestige L</t>
  </si>
  <si>
    <t>Lasa Supergenerics</t>
  </si>
  <si>
    <t>Cosmo Films</t>
  </si>
  <si>
    <t>+ 0.59</t>
  </si>
  <si>
    <t>Equitas Small Fin</t>
  </si>
  <si>
    <t>+ 0.58</t>
  </si>
  <si>
    <t>TGV SRAAC</t>
  </si>
  <si>
    <t>Geojit Financial</t>
  </si>
  <si>
    <t>+ 0.57</t>
  </si>
  <si>
    <t>Sintex Plastics Tech</t>
  </si>
  <si>
    <t>Spencer's Retail</t>
  </si>
  <si>
    <t>Amara Raja Batt.</t>
  </si>
  <si>
    <t>+ 0.56</t>
  </si>
  <si>
    <t>Exide Inds.</t>
  </si>
  <si>
    <t>Snowman Logistics Lt</t>
  </si>
  <si>
    <t>CG-VAK Software</t>
  </si>
  <si>
    <t>Indraprastha Gas Ltd</t>
  </si>
  <si>
    <t>Sacheta Metals L</t>
  </si>
  <si>
    <t>Dabur India</t>
  </si>
  <si>
    <t>+ 0.55</t>
  </si>
  <si>
    <t>Rajesh Exports L</t>
  </si>
  <si>
    <t>The Andhra Sugars</t>
  </si>
  <si>
    <t>Man Infraconstructio</t>
  </si>
  <si>
    <t>Delta Manufacturing</t>
  </si>
  <si>
    <t>Caplin Point Lab</t>
  </si>
  <si>
    <t>+ 0.54</t>
  </si>
  <si>
    <t>Samrat Pharma</t>
  </si>
  <si>
    <t>Schneider Electric</t>
  </si>
  <si>
    <t>LGB Forge Ltd.</t>
  </si>
  <si>
    <t>Nila Spaces L</t>
  </si>
  <si>
    <t>Dilip Buildcon Ltd.</t>
  </si>
  <si>
    <t>Kanchi Karpooram</t>
  </si>
  <si>
    <t>Ovobel Foods Ltd</t>
  </si>
  <si>
    <t>+ 0.53</t>
  </si>
  <si>
    <t>Kilpest India Lt</t>
  </si>
  <si>
    <t>Vishnu Chemicals</t>
  </si>
  <si>
    <t>Bhakti Gems and Jewe</t>
  </si>
  <si>
    <t>Neogen Chemicals</t>
  </si>
  <si>
    <t>Reliance Com</t>
  </si>
  <si>
    <t>Jaypee Infratech Ltd</t>
  </si>
  <si>
    <t>+ 0.52</t>
  </si>
  <si>
    <t>UFO Moviez India Ltd</t>
  </si>
  <si>
    <t>Sun Pharma.</t>
  </si>
  <si>
    <t>Polycab India</t>
  </si>
  <si>
    <t>NDR Auto Components</t>
  </si>
  <si>
    <t>IFB Agro Indus</t>
  </si>
  <si>
    <t>Hindustan Unilever L</t>
  </si>
  <si>
    <t>+ 0.51</t>
  </si>
  <si>
    <t>Dhruv Consultancy</t>
  </si>
  <si>
    <t>PAE</t>
  </si>
  <si>
    <t>The Byke Hospitality</t>
  </si>
  <si>
    <t>+ 0.50</t>
  </si>
  <si>
    <t>Som Distilleries</t>
  </si>
  <si>
    <t>Aki India</t>
  </si>
  <si>
    <t>Amba Enterprises</t>
  </si>
  <si>
    <t>Deccan Cements</t>
  </si>
  <si>
    <t>+ 0.49</t>
  </si>
  <si>
    <t>Haldyn Glass</t>
  </si>
  <si>
    <t>Bharat Agri Fert &amp; R</t>
  </si>
  <si>
    <t>+ 0.48</t>
  </si>
  <si>
    <t>Max Financial Servic</t>
  </si>
  <si>
    <t>Emami Realty</t>
  </si>
  <si>
    <t>Vista Pharmaceut</t>
  </si>
  <si>
    <t>Indian Energy Exchan</t>
  </si>
  <si>
    <t>Navkar Corporation L</t>
  </si>
  <si>
    <t>Kunststoffe Inds</t>
  </si>
  <si>
    <t>Capacit'e Infraproje</t>
  </si>
  <si>
    <t>AksharChem (India)</t>
  </si>
  <si>
    <t>+ 0.47</t>
  </si>
  <si>
    <t>Fortis Malar Hospita</t>
  </si>
  <si>
    <t>Dishman Carbogen Amc</t>
  </si>
  <si>
    <t>Avanti Feeds Lim</t>
  </si>
  <si>
    <t>Maestros Electronics</t>
  </si>
  <si>
    <t>Vivo Bio Tech Ltd.</t>
  </si>
  <si>
    <t>+ 0.46</t>
  </si>
  <si>
    <t>ZF Steering Gear</t>
  </si>
  <si>
    <t>+ 0.45</t>
  </si>
  <si>
    <t>IFCI Ltd.</t>
  </si>
  <si>
    <t>Sagar Diamonds</t>
  </si>
  <si>
    <t>Bliss GVS Pharma</t>
  </si>
  <si>
    <t>Insilco Ltd.</t>
  </si>
  <si>
    <t>+ 0.44</t>
  </si>
  <si>
    <t>Sumedha Fiscal S</t>
  </si>
  <si>
    <t>Indag Rubber</t>
  </si>
  <si>
    <t>Abbott India Ltd.</t>
  </si>
  <si>
    <t>+ 0.43</t>
  </si>
  <si>
    <t>Seamec Ltd.</t>
  </si>
  <si>
    <t>VBC Ferro Allo</t>
  </si>
  <si>
    <t>SML Isuzu Ltd.</t>
  </si>
  <si>
    <t>+ 0.42</t>
  </si>
  <si>
    <t>Jenburkt Pharmac</t>
  </si>
  <si>
    <t>Sasken Technologies</t>
  </si>
  <si>
    <t>Shanthi Gears</t>
  </si>
  <si>
    <t>Sterlite Technologie</t>
  </si>
  <si>
    <t>Akme Star Housing</t>
  </si>
  <si>
    <t>Aster DM Healthcare</t>
  </si>
  <si>
    <t>Aksh Optifibre</t>
  </si>
  <si>
    <t>Maha. Seamless</t>
  </si>
  <si>
    <t>+ 0.41</t>
  </si>
  <si>
    <t>Kanpur Plasti.</t>
  </si>
  <si>
    <t>Nilkamal Ltd.</t>
  </si>
  <si>
    <t>IFB Industries</t>
  </si>
  <si>
    <t>+ 0.40</t>
  </si>
  <si>
    <t>SBI</t>
  </si>
  <si>
    <t>Network 18 Media &amp; I</t>
  </si>
  <si>
    <t>Bharat Rasayan</t>
  </si>
  <si>
    <t>Arvind SmartSpaces</t>
  </si>
  <si>
    <t>Crompton Greaves Con</t>
  </si>
  <si>
    <t>Oriental Aromatics</t>
  </si>
  <si>
    <t>+ 0.39</t>
  </si>
  <si>
    <t>Loyal Textiles M</t>
  </si>
  <si>
    <t>TCNS Clothing</t>
  </si>
  <si>
    <t>JTEKT India</t>
  </si>
  <si>
    <t>+ 0.38</t>
  </si>
  <si>
    <t>Amines &amp; Plast.</t>
  </si>
  <si>
    <t>Indo National</t>
  </si>
  <si>
    <t>+ 0.37</t>
  </si>
  <si>
    <t>Godrej Agrovet L</t>
  </si>
  <si>
    <t>Gautam Gems</t>
  </si>
  <si>
    <t>Glenmark Pharma</t>
  </si>
  <si>
    <t>Deep Energy Resource</t>
  </si>
  <si>
    <t>+ 0.36</t>
  </si>
  <si>
    <t>Wockhardt Ltd.</t>
  </si>
  <si>
    <t>U Y Fincorp</t>
  </si>
  <si>
    <t>VST Tillers Tr</t>
  </si>
  <si>
    <t>Mahindra Lifespace D</t>
  </si>
  <si>
    <t>RCI Industries &amp; Tec</t>
  </si>
  <si>
    <t>+ 0.35</t>
  </si>
  <si>
    <t>Royal Orchid Hotels</t>
  </si>
  <si>
    <t>Endurance Technologi</t>
  </si>
  <si>
    <t>Route Mobile</t>
  </si>
  <si>
    <t>Orient Bell</t>
  </si>
  <si>
    <t>Novartis</t>
  </si>
  <si>
    <t>+ 0.34</t>
  </si>
  <si>
    <t>Texmaco Rail &amp; Engin</t>
  </si>
  <si>
    <t>State Trading</t>
  </si>
  <si>
    <t>Freshtrop Fruits</t>
  </si>
  <si>
    <t>Bimetal Bear.</t>
  </si>
  <si>
    <t>+ 0.33</t>
  </si>
  <si>
    <t>Sharda Cropchem</t>
  </si>
  <si>
    <t>DHP India Ltd.</t>
  </si>
  <si>
    <t>+ 0.32</t>
  </si>
  <si>
    <t>Cybertech System</t>
  </si>
  <si>
    <t>JSW Holdings</t>
  </si>
  <si>
    <t>Coastal Corporation</t>
  </si>
  <si>
    <t>Prime Focus</t>
  </si>
  <si>
    <t>Rana Sugars</t>
  </si>
  <si>
    <t>TCI Express</t>
  </si>
  <si>
    <t>Royale Manor Hot</t>
  </si>
  <si>
    <t>+ 0.31</t>
  </si>
  <si>
    <t>Vivimed Labs</t>
  </si>
  <si>
    <t>Apex Frozen Foods</t>
  </si>
  <si>
    <t>+ 0.30</t>
  </si>
  <si>
    <t>Akzo Nobel India</t>
  </si>
  <si>
    <t>Racl Geartech</t>
  </si>
  <si>
    <t>+ 0.29</t>
  </si>
  <si>
    <t>Sobha</t>
  </si>
  <si>
    <t>Everest Organics</t>
  </si>
  <si>
    <t>Vijay Textiles L</t>
  </si>
  <si>
    <t>ITD Cementation Indi</t>
  </si>
  <si>
    <t>Greaves Cotton</t>
  </si>
  <si>
    <t>+ 0.28</t>
  </si>
  <si>
    <t>GE Power India</t>
  </si>
  <si>
    <t>Rane Brake Lining Lt</t>
  </si>
  <si>
    <t>Kitex Garments</t>
  </si>
  <si>
    <t>Varroc Engineering</t>
  </si>
  <si>
    <t>Oswal Green Tech</t>
  </si>
  <si>
    <t>Karma Energy</t>
  </si>
  <si>
    <t>Shree Ganesh Remedie</t>
  </si>
  <si>
    <t>+ 0.27</t>
  </si>
  <si>
    <t>Suyog Telematics</t>
  </si>
  <si>
    <t>McLeod Russel</t>
  </si>
  <si>
    <t>SKM Egg Produc</t>
  </si>
  <si>
    <t>AMD Industries Ltd.</t>
  </si>
  <si>
    <t>Sundaram Clayton</t>
  </si>
  <si>
    <t>Aurobindo Pharma</t>
  </si>
  <si>
    <t>Shree Rama Newsprint</t>
  </si>
  <si>
    <t>Dr. Reddy's Labs</t>
  </si>
  <si>
    <t>+ 0.26</t>
  </si>
  <si>
    <t>Ashirwad Capital</t>
  </si>
  <si>
    <t>Ginni Filaments</t>
  </si>
  <si>
    <t>Nath Industries</t>
  </si>
  <si>
    <t>Guj. Alkalie &amp; C</t>
  </si>
  <si>
    <t>+ 0.25</t>
  </si>
  <si>
    <t>Xchanging Solutions</t>
  </si>
  <si>
    <t>Sundaram Finance</t>
  </si>
  <si>
    <t>Zuari Agro Chemicals</t>
  </si>
  <si>
    <t>India Home Loan</t>
  </si>
  <si>
    <t>DCW Ltd.</t>
  </si>
  <si>
    <t>Evexia Lifecare</t>
  </si>
  <si>
    <t>ICICI Securities</t>
  </si>
  <si>
    <t>Rane Holdings Ltd.</t>
  </si>
  <si>
    <t>+ 0.24</t>
  </si>
  <si>
    <t>Sunflag Iron</t>
  </si>
  <si>
    <t>Aarti Drugs Ltd</t>
  </si>
  <si>
    <t>Bigbloc Construction</t>
  </si>
  <si>
    <t>R&amp;B Denims Ltd.</t>
  </si>
  <si>
    <t>Confidence Petroleum</t>
  </si>
  <si>
    <t>Sarda Energy &amp; Miner</t>
  </si>
  <si>
    <t>+ 0.23</t>
  </si>
  <si>
    <t>Punjab Chemicals and</t>
  </si>
  <si>
    <t>AutoCorpn of Goa</t>
  </si>
  <si>
    <t>Cochin Shipyard</t>
  </si>
  <si>
    <t>S Chand &amp; Company</t>
  </si>
  <si>
    <t>Nicco Parks &amp; Re</t>
  </si>
  <si>
    <t>South India Pape</t>
  </si>
  <si>
    <t>Tata Coffee Ltd.</t>
  </si>
  <si>
    <t>+ 0.22</t>
  </si>
  <si>
    <t>Garware Tech. Fibres</t>
  </si>
  <si>
    <t>Venky's (India) Ltd.</t>
  </si>
  <si>
    <t>ICICI Lombard Gen.</t>
  </si>
  <si>
    <t>Newgen Software Tech</t>
  </si>
  <si>
    <t>NRB Bearings Lim</t>
  </si>
  <si>
    <t>Dhunseri Investments</t>
  </si>
  <si>
    <t>+ 0.21</t>
  </si>
  <si>
    <t>Sunteck Realty Ltd.</t>
  </si>
  <si>
    <t>IZMO</t>
  </si>
  <si>
    <t>Wall Street Fina</t>
  </si>
  <si>
    <t>B N Rathi Securities</t>
  </si>
  <si>
    <t>+ 0.20</t>
  </si>
  <si>
    <t>HDFC AMC</t>
  </si>
  <si>
    <t>Ganesha Ecosphere</t>
  </si>
  <si>
    <t>Sterling Tools L</t>
  </si>
  <si>
    <t>Opto Circuits India</t>
  </si>
  <si>
    <t>IIFL Wealth Manage</t>
  </si>
  <si>
    <t>CESC Ltd.</t>
  </si>
  <si>
    <t>+ 0.19</t>
  </si>
  <si>
    <t>Kirloskar Industries</t>
  </si>
  <si>
    <t>Advanced Enzyme Tech</t>
  </si>
  <si>
    <t>Vindhya Telelink</t>
  </si>
  <si>
    <t>Gravita India Ltd.</t>
  </si>
  <si>
    <t>Affle (India)</t>
  </si>
  <si>
    <t>+ 0.18</t>
  </si>
  <si>
    <t>Kiri Industries</t>
  </si>
  <si>
    <t>Phoenix Mills</t>
  </si>
  <si>
    <t>+ 0.17</t>
  </si>
  <si>
    <t>ACC</t>
  </si>
  <si>
    <t>ABB Power Products</t>
  </si>
  <si>
    <t>Comfort Intech</t>
  </si>
  <si>
    <t>Hind. Food</t>
  </si>
  <si>
    <t>Paushak Ltd.</t>
  </si>
  <si>
    <t>+ 0.16</t>
  </si>
  <si>
    <t>Universal Starch</t>
  </si>
  <si>
    <t>Ace Men Engg Works</t>
  </si>
  <si>
    <t>Minda Corporation</t>
  </si>
  <si>
    <t>Mukand Ltd.</t>
  </si>
  <si>
    <t>+ 0.15</t>
  </si>
  <si>
    <t>Honda India Power</t>
  </si>
  <si>
    <t>+ 0.14</t>
  </si>
  <si>
    <t>Brightcom Group</t>
  </si>
  <si>
    <t>HKG Ltd</t>
  </si>
  <si>
    <t>+ 0.13</t>
  </si>
  <si>
    <t>Motilal Oswal Financ</t>
  </si>
  <si>
    <t>Bodal Chemicals</t>
  </si>
  <si>
    <t>Relaxo Footwears</t>
  </si>
  <si>
    <t>Ashapura Min. Lt</t>
  </si>
  <si>
    <t>MPIL Corporation</t>
  </si>
  <si>
    <t>+ 0.12</t>
  </si>
  <si>
    <t>BEML Ltd.</t>
  </si>
  <si>
    <t>Finolex Cables</t>
  </si>
  <si>
    <t>CreditAccess Grameen</t>
  </si>
  <si>
    <t>Bosch Ltd.</t>
  </si>
  <si>
    <t>Super Bakers (India)</t>
  </si>
  <si>
    <t>Jagran Prakashan</t>
  </si>
  <si>
    <t>HCL Technologies</t>
  </si>
  <si>
    <t>+ 0.11</t>
  </si>
  <si>
    <t>Vesuvius India</t>
  </si>
  <si>
    <t>Pearl Global Industr</t>
  </si>
  <si>
    <t>+ 0.10</t>
  </si>
  <si>
    <t>Godawari Power &amp; Isp</t>
  </si>
  <si>
    <t>Pradeep Metals</t>
  </si>
  <si>
    <t>+ 0.09</t>
  </si>
  <si>
    <t>Crisil</t>
  </si>
  <si>
    <t>+ 0.08</t>
  </si>
  <si>
    <t>Mangal Credit &amp; Fin</t>
  </si>
  <si>
    <t>Sukhjit Starch &amp;</t>
  </si>
  <si>
    <t>RBL Bank</t>
  </si>
  <si>
    <t>Torrent Power Ltd.</t>
  </si>
  <si>
    <t>Lloyds Metals &amp; Ener</t>
  </si>
  <si>
    <t>Shilpa Medicare L</t>
  </si>
  <si>
    <t>Vikram Thermo (I</t>
  </si>
  <si>
    <t>Muthoot Capital</t>
  </si>
  <si>
    <t>+ 0.07</t>
  </si>
  <si>
    <t>Marico Ltd.</t>
  </si>
  <si>
    <t>L&amp;T Infotech</t>
  </si>
  <si>
    <t>Syngene Internationa</t>
  </si>
  <si>
    <t>Axis Bank Ltd.</t>
  </si>
  <si>
    <t>Triton Valves</t>
  </si>
  <si>
    <t>+ 0.06</t>
  </si>
  <si>
    <t>Ozone World</t>
  </si>
  <si>
    <t>+ 0.05</t>
  </si>
  <si>
    <t>Aries Agro Ltd.</t>
  </si>
  <si>
    <t>Superior Finlease</t>
  </si>
  <si>
    <t>Milk Food</t>
  </si>
  <si>
    <t>Investment &amp; Pre</t>
  </si>
  <si>
    <t>KIOCL</t>
  </si>
  <si>
    <t>+ 0.04</t>
  </si>
  <si>
    <t>Neuland Laborat</t>
  </si>
  <si>
    <t>Ramco Industries</t>
  </si>
  <si>
    <t>+ 0.02</t>
  </si>
  <si>
    <t>Graphite India Ltd.</t>
  </si>
  <si>
    <t>Jubilant Pharmova</t>
  </si>
  <si>
    <t>Kamadgiri Fashion</t>
  </si>
  <si>
    <t>Maximus Intl.</t>
  </si>
  <si>
    <t>LKP Securities</t>
  </si>
  <si>
    <t>Bothra Metals &amp; Allo</t>
  </si>
  <si>
    <t>Kingfa Science &amp; Tec</t>
  </si>
  <si>
    <t>Sahyadri Industries</t>
  </si>
  <si>
    <t>Vipul Ltd.</t>
  </si>
  <si>
    <t>Walchand Peoplefirst</t>
  </si>
  <si>
    <t>IIFL Finance</t>
  </si>
  <si>
    <t>Rajasthan Petro</t>
  </si>
  <si>
    <t>Chromatic India</t>
  </si>
  <si>
    <t>Sical Logistics</t>
  </si>
  <si>
    <t>Prabhat Technologies</t>
  </si>
  <si>
    <t>Parsharti Investment</t>
  </si>
  <si>
    <t>Aroma Enterprises</t>
  </si>
  <si>
    <t>TTI Enterprise Ltd.</t>
  </si>
  <si>
    <t>Konark Synthetic</t>
  </si>
  <si>
    <t>Terrascope Ventures</t>
  </si>
  <si>
    <t>Hittco Tools Ltd.</t>
  </si>
  <si>
    <t>Comfort Fincap</t>
  </si>
  <si>
    <t>Sita Enterprises</t>
  </si>
  <si>
    <t>Celebrity Fashions L</t>
  </si>
  <si>
    <t>Quadrant Televenture</t>
  </si>
  <si>
    <t>VCU Data Management</t>
  </si>
  <si>
    <t>Future Market Net</t>
  </si>
  <si>
    <t>Xelpmoc Design and T</t>
  </si>
  <si>
    <t>Creative Casting</t>
  </si>
  <si>
    <t>Martin Burn Ltd.</t>
  </si>
  <si>
    <t>Future Supply Chain</t>
  </si>
  <si>
    <t>Majestic Research Se</t>
  </si>
  <si>
    <t>Ravindra Energy Ltd.</t>
  </si>
  <si>
    <t>Alufluoride Ltd.</t>
  </si>
  <si>
    <t>Bedmutha Industries</t>
  </si>
  <si>
    <t>Future Retail L</t>
  </si>
  <si>
    <t>Securekloud Tech</t>
  </si>
  <si>
    <t>Future Lifestyle</t>
  </si>
  <si>
    <t>Ramasigns Industries</t>
  </si>
  <si>
    <t>Swas.Vinay.Synt</t>
  </si>
  <si>
    <t>Natraj Proteins</t>
  </si>
  <si>
    <t>Fruition Venture Ltd</t>
  </si>
  <si>
    <t>Uday Jewellery</t>
  </si>
  <si>
    <t>Veerhealth Care</t>
  </si>
  <si>
    <t>Coral Newsprints</t>
  </si>
  <si>
    <t>Sagar Productions</t>
  </si>
  <si>
    <t>IO System Ltd.</t>
  </si>
  <si>
    <t>Northlink Fiscal&amp;Cap</t>
  </si>
  <si>
    <t>Halder Venture</t>
  </si>
  <si>
    <t>Eastern Treads L</t>
  </si>
  <si>
    <t>Upasana Finance</t>
  </si>
  <si>
    <t>Suditi Hosiery</t>
  </si>
  <si>
    <t>Schablona India</t>
  </si>
  <si>
    <t>Praxis Home Retail L</t>
  </si>
  <si>
    <t>Maxheights Infra</t>
  </si>
  <si>
    <t>BNR Udyog</t>
  </si>
  <si>
    <t>Chennai Meenakshi Mu</t>
  </si>
  <si>
    <t>Parnax Lab L</t>
  </si>
  <si>
    <t>Ritesh Internati</t>
  </si>
  <si>
    <t>Dewan Housing</t>
  </si>
  <si>
    <t>Libord Securities</t>
  </si>
  <si>
    <t>G G Dandekar Machine</t>
  </si>
  <si>
    <t>Shetron Ltd</t>
  </si>
  <si>
    <t>Odyssey Corporation</t>
  </si>
  <si>
    <t>Future Enterprises</t>
  </si>
  <si>
    <t>T Nadu Steel Tub</t>
  </si>
  <si>
    <t>Rainbow Foundati</t>
  </si>
  <si>
    <t>Vintage Securiti</t>
  </si>
  <si>
    <t>Spice Islands Ap</t>
  </si>
  <si>
    <t>Yogi Infra Projects</t>
  </si>
  <si>
    <t>NMS Resources Global</t>
  </si>
  <si>
    <t>Mehta Integrated</t>
  </si>
  <si>
    <t>Aditya Spinners</t>
  </si>
  <si>
    <t>Bervin Investmen</t>
  </si>
  <si>
    <t>Pankaj Piyush Trade</t>
  </si>
  <si>
    <t>IGC Industries</t>
  </si>
  <si>
    <t>Catvision Ltd.</t>
  </si>
  <si>
    <t>Softsol India</t>
  </si>
  <si>
    <t>Yuranus Infra</t>
  </si>
  <si>
    <t>Crestchem Ltd.</t>
  </si>
  <si>
    <t>Arshiya</t>
  </si>
  <si>
    <t>Acme Resources</t>
  </si>
  <si>
    <t>Khoday India</t>
  </si>
  <si>
    <t>Mahalaxmi Seam</t>
  </si>
  <si>
    <t>Ambition Mica</t>
  </si>
  <si>
    <t>TCI Finance</t>
  </si>
  <si>
    <t>Indo Euro Indchem</t>
  </si>
  <si>
    <t>Lakshmi Precn.Sc</t>
  </si>
  <si>
    <t>Sintex Industrie</t>
  </si>
  <si>
    <t>Rudra Global Infra P</t>
  </si>
  <si>
    <t>TeleCanor Global Ltd</t>
  </si>
  <si>
    <t>Brady &amp; Morris E</t>
  </si>
  <si>
    <t>Jagatjit Ind.</t>
  </si>
  <si>
    <t>Prime Property Devel</t>
  </si>
  <si>
    <t>IM+ Capitals</t>
  </si>
  <si>
    <t>Kobo Biotech</t>
  </si>
  <si>
    <t>Rama Vision</t>
  </si>
  <si>
    <t>Sword-Edge Commer</t>
  </si>
  <si>
    <t>Mega Nirman &amp; Indust</t>
  </si>
  <si>
    <t>V B Desai Finan.</t>
  </si>
  <si>
    <t>TechNVision Ventures</t>
  </si>
  <si>
    <t>Quick Heal Technolog</t>
  </si>
  <si>
    <t>Precision Elect.</t>
  </si>
  <si>
    <t>Bhandari Hosiery</t>
  </si>
  <si>
    <t>Alfa Ica (India)</t>
  </si>
  <si>
    <t>Shree Metalloys</t>
  </si>
  <si>
    <t>Transwarranty Financ</t>
  </si>
  <si>
    <t>Ahm. Steelcraft</t>
  </si>
  <si>
    <t>Narbada Gems &amp; Jewel</t>
  </si>
  <si>
    <t>Southern Latex</t>
  </si>
  <si>
    <t>Glittek Granites</t>
  </si>
  <si>
    <t>Integra Telecom</t>
  </si>
  <si>
    <t>Sejal Glass</t>
  </si>
  <si>
    <t>Intellivate Cap. Adv</t>
  </si>
  <si>
    <t>Amco India</t>
  </si>
  <si>
    <t>Shree Global Tra</t>
  </si>
  <si>
    <t>Sun and Shine World</t>
  </si>
  <si>
    <t>Manaksia Steels</t>
  </si>
  <si>
    <t>Arihant Foundat</t>
  </si>
  <si>
    <t>Thiru Arooran</t>
  </si>
  <si>
    <t>BAG Films &amp; Media</t>
  </si>
  <si>
    <t>Sanghvi Forging &amp; En</t>
  </si>
  <si>
    <t>Narayani Steels</t>
  </si>
  <si>
    <t>Omkar Overseas L</t>
  </si>
  <si>
    <t>Jattashankar Indust</t>
  </si>
  <si>
    <t>Global Offshore Ser</t>
  </si>
  <si>
    <t>Dr. Habeebullah Life</t>
  </si>
  <si>
    <t>Blue Coast Hotels L</t>
  </si>
  <si>
    <t>Oceanaa Biotek Ind</t>
  </si>
  <si>
    <t>Indian Bright Steel</t>
  </si>
  <si>
    <t>Goenka Business</t>
  </si>
  <si>
    <t>CLC Industries</t>
  </si>
  <si>
    <t>Mitshi India L</t>
  </si>
  <si>
    <t>Raj Rayon Industries</t>
  </si>
  <si>
    <t>Sunil Industries</t>
  </si>
  <si>
    <t>Anka India</t>
  </si>
  <si>
    <t>Silver Oak (India)</t>
  </si>
  <si>
    <t>SKIL Infrastructure</t>
  </si>
  <si>
    <t>Uniworth Ltd.</t>
  </si>
  <si>
    <t>KJMC Corporate Advi</t>
  </si>
  <si>
    <t>India Cements Capita</t>
  </si>
  <si>
    <t>HB Stockholding</t>
  </si>
  <si>
    <t>Trijal Industries</t>
  </si>
  <si>
    <t>P H Capital Ltd.</t>
  </si>
  <si>
    <t>Roselabs Finance</t>
  </si>
  <si>
    <t>Sri Nachammai Co</t>
  </si>
  <si>
    <t>Galaxy Agrico Ex</t>
  </si>
  <si>
    <t>H S India L</t>
  </si>
  <si>
    <t>Continental Cont</t>
  </si>
  <si>
    <t>B2B Soft.Tech.Ltd.</t>
  </si>
  <si>
    <t>Emco Ltd.</t>
  </si>
  <si>
    <t>Starlite Compone</t>
  </si>
  <si>
    <t>Raaj Medisafe India</t>
  </si>
  <si>
    <t>Ansal Properties &amp; I</t>
  </si>
  <si>
    <t>Purple Entertainment</t>
  </si>
  <si>
    <t>Golkunda Diamond</t>
  </si>
  <si>
    <t>Mohit Industries</t>
  </si>
  <si>
    <t>Standard Indust</t>
  </si>
  <si>
    <t>Kanani Industries Lt</t>
  </si>
  <si>
    <t>MPL Plastics</t>
  </si>
  <si>
    <t>Sun Techno Overseas</t>
  </si>
  <si>
    <t>Hiliks Technologies</t>
  </si>
  <si>
    <t>MFL India</t>
  </si>
  <si>
    <t>Viji Finance</t>
  </si>
  <si>
    <t>Cranex Ltd</t>
  </si>
  <si>
    <t>Vintron Informat</t>
  </si>
  <si>
    <t>Kamanwala Housing Co</t>
  </si>
  <si>
    <t>Easun Reyrolle L</t>
  </si>
  <si>
    <t>India Steel Works Lt</t>
  </si>
  <si>
    <t>Paragon Finance</t>
  </si>
  <si>
    <t>Khandwala Securi</t>
  </si>
  <si>
    <t>Solitaire Machin</t>
  </si>
  <si>
    <t>Aruna Hotels Ltd.</t>
  </si>
  <si>
    <t>ACE Software E</t>
  </si>
  <si>
    <t>Kaushalya Infrastruc</t>
  </si>
  <si>
    <t>Madras Fertilize</t>
  </si>
  <si>
    <t>Visagar Polytex Ltd.</t>
  </si>
  <si>
    <t>Terai Tea Compan</t>
  </si>
  <si>
    <t>Uniroyal Marine</t>
  </si>
  <si>
    <t>Palm Jewels</t>
  </si>
  <si>
    <t>E-Land Apparel</t>
  </si>
  <si>
    <t>Space Incubatrics</t>
  </si>
  <si>
    <t>Oscar Global Ltd</t>
  </si>
  <si>
    <t>Archidply Decor</t>
  </si>
  <si>
    <t>Morarka Finance</t>
  </si>
  <si>
    <t>Brand Realty Service</t>
  </si>
  <si>
    <t>Bartronics India Ltd</t>
  </si>
  <si>
    <t>Simplex Realty</t>
  </si>
  <si>
    <t>N R Agarwal Indu</t>
  </si>
  <si>
    <t>Tejnaksh Healthcare</t>
  </si>
  <si>
    <t>Jayatma Industries</t>
  </si>
  <si>
    <t>Velan Hotels Lim</t>
  </si>
  <si>
    <t>Hotel Rugby Limi</t>
  </si>
  <si>
    <t>Ravi Kumar Distiller</t>
  </si>
  <si>
    <t>Ujjivan SmallFinance</t>
  </si>
  <si>
    <t>Jagjanani Textiles L</t>
  </si>
  <si>
    <t>Sanblue Corporation</t>
  </si>
  <si>
    <t>Mysore Petro.Che</t>
  </si>
  <si>
    <t>iStreet Network</t>
  </si>
  <si>
    <t>Vikas Ecotech L</t>
  </si>
  <si>
    <t>Marg Ltd.</t>
  </si>
  <si>
    <t>National Plastic Tec</t>
  </si>
  <si>
    <t>Indokem Ltd.</t>
  </si>
  <si>
    <t>JMC Projects</t>
  </si>
  <si>
    <t>Minaxi Textiles</t>
  </si>
  <si>
    <t>HB Portfolio</t>
  </si>
  <si>
    <t>Shriram Trans.Fi</t>
  </si>
  <si>
    <t>Refnol Resins &amp;</t>
  </si>
  <si>
    <t>Twinstar Industries</t>
  </si>
  <si>
    <t>Sawaca Business Mach</t>
  </si>
  <si>
    <t>Pro Fin Capital Serv</t>
  </si>
  <si>
    <t>Panorama Studios Int</t>
  </si>
  <si>
    <t>Future Consumer</t>
  </si>
  <si>
    <t>Anuroop Packaging Lt</t>
  </si>
  <si>
    <t>Olympia Inds.</t>
  </si>
  <si>
    <t>Source Natural Foods</t>
  </si>
  <si>
    <t>Sheetal Cool Product</t>
  </si>
  <si>
    <t>GB Global</t>
  </si>
  <si>
    <t>Utique Enterprises</t>
  </si>
  <si>
    <t>Compucom Softwr</t>
  </si>
  <si>
    <t>Maruti Infrastru</t>
  </si>
  <si>
    <t>Williamson Magor</t>
  </si>
  <si>
    <t>Landmark Property De</t>
  </si>
  <si>
    <t>Ashapuri Gold Ornam</t>
  </si>
  <si>
    <t>Tatia Global Venntur</t>
  </si>
  <si>
    <t>Shree Steel Wire</t>
  </si>
  <si>
    <t>Aplab</t>
  </si>
  <si>
    <t>Motor &amp; General</t>
  </si>
  <si>
    <t>Sutlej Textiles &amp; In</t>
  </si>
  <si>
    <t>GTV Engineering</t>
  </si>
  <si>
    <t>Indian Sucrose L</t>
  </si>
  <si>
    <t>T. Spiritual World</t>
  </si>
  <si>
    <t>Sharp India</t>
  </si>
  <si>
    <t>MEP Infrastructure</t>
  </si>
  <si>
    <t>Inspirisys Solutions</t>
  </si>
  <si>
    <t>Mangalam Seeds</t>
  </si>
  <si>
    <t>Shree Hari Chem.</t>
  </si>
  <si>
    <t>Morarjee Textiles Li</t>
  </si>
  <si>
    <t>Nutraplus India</t>
  </si>
  <si>
    <t>Pazel International</t>
  </si>
  <si>
    <t>Vama Industries Ltd.</t>
  </si>
  <si>
    <t>Gyscoal Alloys Ltd.</t>
  </si>
  <si>
    <t>SITI Networks</t>
  </si>
  <si>
    <t>Super Sales India</t>
  </si>
  <si>
    <t>Maha Rashtra Ape</t>
  </si>
  <si>
    <t>SAB Industries</t>
  </si>
  <si>
    <t>Rama Phosphates</t>
  </si>
  <si>
    <t>Mahavir Industries</t>
  </si>
  <si>
    <t>Hind. Organi</t>
  </si>
  <si>
    <t>Magnum Ventures Ltd.</t>
  </si>
  <si>
    <t>J. Taparia Projects</t>
  </si>
  <si>
    <t>Prakash Wool.&amp; Syn.</t>
  </si>
  <si>
    <t>Visa Steel</t>
  </si>
  <si>
    <t>Pearl Polymers</t>
  </si>
  <si>
    <t>Beryl Drugs Ltd.</t>
  </si>
  <si>
    <t>Rishi Techtex</t>
  </si>
  <si>
    <t>MosChip Technologies</t>
  </si>
  <si>
    <t>Inditrade Capital</t>
  </si>
  <si>
    <t>SPML Infra</t>
  </si>
  <si>
    <t>City Union Bank</t>
  </si>
  <si>
    <t>Ujjivan Financial</t>
  </si>
  <si>
    <t>NCL Research</t>
  </si>
  <si>
    <t>Infomedia Press</t>
  </si>
  <si>
    <t>Ushdev Internati</t>
  </si>
  <si>
    <t>Urja Global</t>
  </si>
  <si>
    <t>NEL Holdings South</t>
  </si>
  <si>
    <t>Mukesh Babu Fina</t>
  </si>
  <si>
    <t>Melstar Inform.</t>
  </si>
  <si>
    <t>Amin Tannery L</t>
  </si>
  <si>
    <t>Emkay Global Financi</t>
  </si>
  <si>
    <t>Nagreeka Exports</t>
  </si>
  <si>
    <t>Shyam Telecom</t>
  </si>
  <si>
    <t>ISMT Ltd.</t>
  </si>
  <si>
    <t>Neueon Towers</t>
  </si>
  <si>
    <t>ANG Lifesciences Ind</t>
  </si>
  <si>
    <t>Vivid Global Industr</t>
  </si>
  <si>
    <t>Mitsu Chem Plast</t>
  </si>
  <si>
    <t>Kovilpatti Lakshmi</t>
  </si>
  <si>
    <t>Haria Exports Li</t>
  </si>
  <si>
    <t>Hind. Motor</t>
  </si>
  <si>
    <t>Karuturi Global Ltd.</t>
  </si>
  <si>
    <t>Cerebra Integrat</t>
  </si>
  <si>
    <t>Starteck Finance</t>
  </si>
  <si>
    <t>SNL Bearings Ltd.</t>
  </si>
  <si>
    <t>Yash Pakka</t>
  </si>
  <si>
    <t>Dhoot Industrial</t>
  </si>
  <si>
    <t>Vadilal Enterprises</t>
  </si>
  <si>
    <t>Jay Ushin Ltd.</t>
  </si>
  <si>
    <t>N K Industries L</t>
  </si>
  <si>
    <t>Choksi Lab. Ltd</t>
  </si>
  <si>
    <t>ACI Infocom Ltd.</t>
  </si>
  <si>
    <t>Jost's Engg.</t>
  </si>
  <si>
    <t>Shriram City Uni</t>
  </si>
  <si>
    <t>Crown Tours</t>
  </si>
  <si>
    <t>WelspunInvestments</t>
  </si>
  <si>
    <t>Som Datt Finance</t>
  </si>
  <si>
    <t>Swastika Investmart</t>
  </si>
  <si>
    <t>KIC Metaliks</t>
  </si>
  <si>
    <t>Godrej Properties Lt</t>
  </si>
  <si>
    <t>Kuantum Papers</t>
  </si>
  <si>
    <t>Niyogin Fintech</t>
  </si>
  <si>
    <t>Gufic BioSciences Lt</t>
  </si>
  <si>
    <t>Metroglobal</t>
  </si>
  <si>
    <t>Priya Ltd.</t>
  </si>
  <si>
    <t>Suraj</t>
  </si>
  <si>
    <t>BKM Industries</t>
  </si>
  <si>
    <t>MRO-TEK Realty</t>
  </si>
  <si>
    <t>Lypsa Gems &amp; Jewell</t>
  </si>
  <si>
    <t>Concord Drugs</t>
  </si>
  <si>
    <t>Kilburn Engg.</t>
  </si>
  <si>
    <t>Transchem L</t>
  </si>
  <si>
    <t>KDDL Ltd.</t>
  </si>
  <si>
    <t>Victory Paper &amp;</t>
  </si>
  <si>
    <t>Linc Pen &amp; Plast</t>
  </si>
  <si>
    <t>Amal Ltd.</t>
  </si>
  <si>
    <t>GFL L</t>
  </si>
  <si>
    <t>Riddhi Siddhi Gluco</t>
  </si>
  <si>
    <t>Commercial Syn Bags</t>
  </si>
  <si>
    <t>W H Brady &amp; Co.</t>
  </si>
  <si>
    <t>Goldiam Internat</t>
  </si>
  <si>
    <t>Allied Digital Servi</t>
  </si>
  <si>
    <t>Ansal Buildwell</t>
  </si>
  <si>
    <t>Cian Healthcare</t>
  </si>
  <si>
    <t>Kirloskar Elect</t>
  </si>
  <si>
    <t>Trejhara Solutions L</t>
  </si>
  <si>
    <t>Decipher Labs</t>
  </si>
  <si>
    <t>Akar Auto Industries</t>
  </si>
  <si>
    <t>Amrapali Inds.</t>
  </si>
  <si>
    <t>Sankhya Info</t>
  </si>
  <si>
    <t>Austin Engg. Co.</t>
  </si>
  <si>
    <t>The Indian Card Clot</t>
  </si>
  <si>
    <t>Kerala Ayurveda Ltd.</t>
  </si>
  <si>
    <t>Baba Arts</t>
  </si>
  <si>
    <t>SEL Manufacturing Co</t>
  </si>
  <si>
    <t>Kernex Microsystems</t>
  </si>
  <si>
    <t>Tree House Education</t>
  </si>
  <si>
    <t>Viceroy Hotels L</t>
  </si>
  <si>
    <t>Integra Engineering</t>
  </si>
  <si>
    <t>Shirpur Gold Refiner</t>
  </si>
  <si>
    <t>Scan Steels</t>
  </si>
  <si>
    <t>Inani Marbles &amp;</t>
  </si>
  <si>
    <t>CapricornSystemsGlbl</t>
  </si>
  <si>
    <t>Indo Rama Synth.</t>
  </si>
  <si>
    <t>POCL Enterprises</t>
  </si>
  <si>
    <t>Alpine Hous.Dev.</t>
  </si>
  <si>
    <t>Alfa Transformer</t>
  </si>
  <si>
    <t>Deccan Health Care</t>
  </si>
  <si>
    <t>DQ Entertainment (In</t>
  </si>
  <si>
    <t>JITF Infralogistics</t>
  </si>
  <si>
    <t>Kaya L</t>
  </si>
  <si>
    <t>Gillanders Arbut</t>
  </si>
  <si>
    <t>Sumuka Agro Ind</t>
  </si>
  <si>
    <t>Edelweiss Fin. Ser</t>
  </si>
  <si>
    <t>Cosmo Ferrites</t>
  </si>
  <si>
    <t>PI Industries</t>
  </si>
  <si>
    <t>Danube Industries L</t>
  </si>
  <si>
    <t>Orient Abrasives</t>
  </si>
  <si>
    <t>Prajay Engineers</t>
  </si>
  <si>
    <t>Banswara Syntex</t>
  </si>
  <si>
    <t>Patspin India</t>
  </si>
  <si>
    <t>Tube Investments</t>
  </si>
  <si>
    <t>Cambridge Technology</t>
  </si>
  <si>
    <t>Mastek Li</t>
  </si>
  <si>
    <t>HFCL</t>
  </si>
  <si>
    <t>Vaibhav Global</t>
  </si>
  <si>
    <t>CL Educate</t>
  </si>
  <si>
    <t>Century Textiles</t>
  </si>
  <si>
    <t>Odyssey Technolo</t>
  </si>
  <si>
    <t>DB (International)</t>
  </si>
  <si>
    <t>Alembic Ltd.</t>
  </si>
  <si>
    <t>Raja Bahadur Interna</t>
  </si>
  <si>
    <t>TCI Industries L</t>
  </si>
  <si>
    <t>Advani Hotels</t>
  </si>
  <si>
    <t>Unjha Formulatio</t>
  </si>
  <si>
    <t>Dalal Street Inv</t>
  </si>
  <si>
    <t>Ashoka Metcast</t>
  </si>
  <si>
    <t>Dynamic Industri</t>
  </si>
  <si>
    <t>Bang Overseas Ltd.</t>
  </si>
  <si>
    <t>CHD Chemicals Ltd.</t>
  </si>
  <si>
    <t>Duke Offshore Lt</t>
  </si>
  <si>
    <t>Suchitra Fin &amp; Trade</t>
  </si>
  <si>
    <t>Radhagobind Commerci</t>
  </si>
  <si>
    <t>RTCL Ltd.</t>
  </si>
  <si>
    <t>Radix Industries</t>
  </si>
  <si>
    <t>Modern Insulator</t>
  </si>
  <si>
    <t>Anjani Foods</t>
  </si>
  <si>
    <t>Hit Kit Global Solut</t>
  </si>
  <si>
    <t>KCL Infra Projects</t>
  </si>
  <si>
    <t>Pan India Corporatio</t>
  </si>
  <si>
    <t>Shriram A M C</t>
  </si>
  <si>
    <t>Thirdwave Financ</t>
  </si>
  <si>
    <t>N2N Technologies</t>
  </si>
  <si>
    <t>Sharda Ispat Ltd</t>
  </si>
  <si>
    <t>Colinz Laborator</t>
  </si>
  <si>
    <t>Longview Tea</t>
  </si>
  <si>
    <t>Classic Leasing</t>
  </si>
  <si>
    <t>Zenith Healthcare</t>
  </si>
  <si>
    <t>Veritas (India) Ltd.</t>
  </si>
  <si>
    <t>Eris Lifesciences</t>
  </si>
  <si>
    <t>Ester India</t>
  </si>
  <si>
    <t>Shreyas Intermed</t>
  </si>
  <si>
    <t>Jai Balaji Industrie</t>
  </si>
  <si>
    <t>Banas Finance Lt</t>
  </si>
  <si>
    <t>Hindustan Bio Scienc</t>
  </si>
  <si>
    <t>M M Rubber Company</t>
  </si>
  <si>
    <t>Chandrima Mercantile</t>
  </si>
  <si>
    <t>Rasi Electrodes</t>
  </si>
  <si>
    <t>IndusInd Bank</t>
  </si>
  <si>
    <t>Worldwide Aluminium</t>
  </si>
  <si>
    <t>BKV Industries Ltd.</t>
  </si>
  <si>
    <t>Sicagen India</t>
  </si>
  <si>
    <t>Raghunath Intern</t>
  </si>
  <si>
    <t>Zeal Aqua</t>
  </si>
  <si>
    <t>Action Construction</t>
  </si>
  <si>
    <t>Marsons Ltd.</t>
  </si>
  <si>
    <t>Samyak International</t>
  </si>
  <si>
    <t>Bhaskar Agrochemical</t>
  </si>
  <si>
    <t>Centrum Capital</t>
  </si>
  <si>
    <t>Libord Finance Ltd.</t>
  </si>
  <si>
    <t>Minolta Finance</t>
  </si>
  <si>
    <t>Sky Industries</t>
  </si>
  <si>
    <t>Bombay Rayon Fashion</t>
  </si>
  <si>
    <t>Standard Surfact</t>
  </si>
  <si>
    <t>Fraser &amp; Company</t>
  </si>
  <si>
    <t>Orissa Minerals Deve</t>
  </si>
  <si>
    <t>Ipca Laboratorie</t>
  </si>
  <si>
    <t>Punj. Alkalie</t>
  </si>
  <si>
    <t>Batliboi Ltd.</t>
  </si>
  <si>
    <t>Jain Studios Ltd</t>
  </si>
  <si>
    <t>P G Foils Ltd</t>
  </si>
  <si>
    <t>M&amp;M Fin.Services</t>
  </si>
  <si>
    <t>Vikas WSP</t>
  </si>
  <si>
    <t>Sudal Industries</t>
  </si>
  <si>
    <t>Brahmaputra Infra</t>
  </si>
  <si>
    <t>Emmessar Biotech</t>
  </si>
  <si>
    <t>Guj. Hotels Ltd.</t>
  </si>
  <si>
    <t>Fluidomat</t>
  </si>
  <si>
    <t>NIBE</t>
  </si>
  <si>
    <t>Oswal Agro Mills</t>
  </si>
  <si>
    <t>Gujarat Metallic</t>
  </si>
  <si>
    <t>Navkar Builders</t>
  </si>
  <si>
    <t>Hasti Finance Li</t>
  </si>
  <si>
    <t>Tirupati Tyres</t>
  </si>
  <si>
    <t>Sampre Nutrition</t>
  </si>
  <si>
    <t>Swadeshi Polytex</t>
  </si>
  <si>
    <t>Simbhaoli Sugars</t>
  </si>
  <si>
    <t>Master Trust Ltd.</t>
  </si>
  <si>
    <t>Shree Ganesh Bio-Tec</t>
  </si>
  <si>
    <t>Optiemus Infracom</t>
  </si>
  <si>
    <t>Suryalakshmi Cot</t>
  </si>
  <si>
    <t>Amforge Inds.</t>
  </si>
  <si>
    <t>Guj. State Finan</t>
  </si>
  <si>
    <t>Integra Capital</t>
  </si>
  <si>
    <t>5Paisa Capital</t>
  </si>
  <si>
    <t>Indrayani Biote.</t>
  </si>
  <si>
    <t>Suryachakra Power Co</t>
  </si>
  <si>
    <t>B C Power Controls L</t>
  </si>
  <si>
    <t>Kesar Enterprise</t>
  </si>
  <si>
    <t>CNI Research Ltd.</t>
  </si>
  <si>
    <t>Guj. Investa</t>
  </si>
  <si>
    <t>MPS Ltd.</t>
  </si>
  <si>
    <t>National Plastic</t>
  </si>
  <si>
    <t>Indian Hotels Co</t>
  </si>
  <si>
    <t>MT Educare Ltd.</t>
  </si>
  <si>
    <t>National Peroxid</t>
  </si>
  <si>
    <t>Jatalia Global Vent</t>
  </si>
  <si>
    <t>Arex Industries Ltd.</t>
  </si>
  <si>
    <t>Cigniti Technologies</t>
  </si>
  <si>
    <t>Kore Foods</t>
  </si>
  <si>
    <t>Pasupati Acrylon</t>
  </si>
  <si>
    <t>Solara Active Pharma</t>
  </si>
  <si>
    <t>Shivalik Rasayan</t>
  </si>
  <si>
    <t>Mahesh Developers</t>
  </si>
  <si>
    <t>Cybermt Infotek</t>
  </si>
  <si>
    <t>Corp.Couriers&amp;Cargo</t>
  </si>
  <si>
    <t>Indian Infotech</t>
  </si>
  <si>
    <t>Shreyans Inds.</t>
  </si>
  <si>
    <t>Ansal Housing L</t>
  </si>
  <si>
    <t>BLB Ltd.</t>
  </si>
  <si>
    <t>Permanent Mag.</t>
  </si>
  <si>
    <t>Agro Tech Foods Ltd.</t>
  </si>
  <si>
    <t>A &amp; M Febcon</t>
  </si>
  <si>
    <t>Generic Engineering</t>
  </si>
  <si>
    <t>Yamini Investments</t>
  </si>
  <si>
    <t>SRG Housing Finance</t>
  </si>
  <si>
    <t>Wanbury</t>
  </si>
  <si>
    <t>Times Guaranty</t>
  </si>
  <si>
    <t>Brijlaxmi Leasin</t>
  </si>
  <si>
    <t>Satra Properties ( I</t>
  </si>
  <si>
    <t>Boston Leasing</t>
  </si>
  <si>
    <t>Gagan Polycot In</t>
  </si>
  <si>
    <t>KRBL Ltd.</t>
  </si>
  <si>
    <t>Lords Chloro Alkali</t>
  </si>
  <si>
    <t>Talbros Engineering</t>
  </si>
  <si>
    <t>Entertainment Networ</t>
  </si>
  <si>
    <t>Bhagiradha Chemi</t>
  </si>
  <si>
    <t>Muzali Arts</t>
  </si>
  <si>
    <t>GayatriSugars</t>
  </si>
  <si>
    <t>Andhra Cement</t>
  </si>
  <si>
    <t>Mahindra Holidays</t>
  </si>
  <si>
    <t>VIP Indus.</t>
  </si>
  <si>
    <t>Sat Industries Ltd.</t>
  </si>
  <si>
    <t>McDowell Holdings Lt</t>
  </si>
  <si>
    <t>Dynamic Cables</t>
  </si>
  <si>
    <t>Trio Mercantile &amp; Tr</t>
  </si>
  <si>
    <t>Diligent Media Corp</t>
  </si>
  <si>
    <t>Hindusthan Urban Inf</t>
  </si>
  <si>
    <t>Galada Power &amp; T</t>
  </si>
  <si>
    <t>Shemaroo Entertainme</t>
  </si>
  <si>
    <t>Bhilwara Technical</t>
  </si>
  <si>
    <t>Monte Carlo Fashions</t>
  </si>
  <si>
    <t>Nirlon</t>
  </si>
  <si>
    <t>Triveni Glass L.</t>
  </si>
  <si>
    <t>Shriram EPC Ltd.</t>
  </si>
  <si>
    <t>Shahlon Silk Indust</t>
  </si>
  <si>
    <t>Ruchi Infrastructure</t>
  </si>
  <si>
    <t>Asahi India Glass</t>
  </si>
  <si>
    <t>Sundaram Multi P</t>
  </si>
  <si>
    <t>Sulabh Eng.&amp;Ser.</t>
  </si>
  <si>
    <t>Maharashtra Corp</t>
  </si>
  <si>
    <t>Capital Trust Lt</t>
  </si>
  <si>
    <t>APL Apollo Tubes</t>
  </si>
  <si>
    <t>Navin Fluorine Inter</t>
  </si>
  <si>
    <t>Mohit Paper Mill</t>
  </si>
  <si>
    <t>Vaswani Industries L</t>
  </si>
  <si>
    <t>Madhucon Project</t>
  </si>
  <si>
    <t>Yash Chemex Ltd.</t>
  </si>
  <si>
    <t>Bodhtree Consulting</t>
  </si>
  <si>
    <t>GBL Industries</t>
  </si>
  <si>
    <t>Elpro Internl.</t>
  </si>
  <si>
    <t>CSB Bank</t>
  </si>
  <si>
    <t>Centum Electronics L</t>
  </si>
  <si>
    <t>Basant Agro Tech</t>
  </si>
  <si>
    <t>JMT Auto Ltd.</t>
  </si>
  <si>
    <t>Garware Syntheti</t>
  </si>
  <si>
    <t>MBL Infrastructures</t>
  </si>
  <si>
    <t>PC Jeweller L</t>
  </si>
  <si>
    <t>Cinevista L</t>
  </si>
  <si>
    <t>Modison Metals L</t>
  </si>
  <si>
    <t>Godavari Drugs</t>
  </si>
  <si>
    <t>Asian Paints Ltd.</t>
  </si>
  <si>
    <t>Saurashtra Cemen</t>
  </si>
  <si>
    <t>Raj Packaging In</t>
  </si>
  <si>
    <t>Add-Shop E-Retail</t>
  </si>
  <si>
    <t>Deccan Gold Mines</t>
  </si>
  <si>
    <t>Premier Explos.</t>
  </si>
  <si>
    <t>Kanishk Steel In</t>
  </si>
  <si>
    <t>Tech Mahindra</t>
  </si>
  <si>
    <t>Tata Investment</t>
  </si>
  <si>
    <t>SIL Investments Ltd.</t>
  </si>
  <si>
    <t>Tata Elxsi Ltd.</t>
  </si>
  <si>
    <t>DIC India</t>
  </si>
  <si>
    <t>Valiant Communic</t>
  </si>
  <si>
    <t>Inventure Growth &amp; S</t>
  </si>
  <si>
    <t>Kesar Petroprod.</t>
  </si>
  <si>
    <t>Tera Software</t>
  </si>
  <si>
    <t>Salora Intl.</t>
  </si>
  <si>
    <t>Cochin Minerals</t>
  </si>
  <si>
    <t>UPL</t>
  </si>
  <si>
    <t>Guj. Amb.Exports</t>
  </si>
  <si>
    <t>FCS Software Sol.Ltd</t>
  </si>
  <si>
    <t>Tasty Dairy Speciali</t>
  </si>
  <si>
    <t>Emerald Leasing Fin</t>
  </si>
  <si>
    <t>Duropack Ltd</t>
  </si>
  <si>
    <t>Indian Acrylics</t>
  </si>
  <si>
    <t>VLS Finance L</t>
  </si>
  <si>
    <t>Birla Precision Tech</t>
  </si>
  <si>
    <t>Viaan Industries</t>
  </si>
  <si>
    <t>Anuh Pharma Ltd</t>
  </si>
  <si>
    <t>Nath Bio-Genes</t>
  </si>
  <si>
    <t>Akashdeep Metal Ind.</t>
  </si>
  <si>
    <t>Zodiac Ventures</t>
  </si>
  <si>
    <t>Coromandel Internati</t>
  </si>
  <si>
    <t>52 Weeks Ent.</t>
  </si>
  <si>
    <t>Devhari Exports</t>
  </si>
  <si>
    <t>Autoline Industries</t>
  </si>
  <si>
    <t>California Softw</t>
  </si>
  <si>
    <t>AMJ Land Holdings L</t>
  </si>
  <si>
    <t>Atul Auto Ltd</t>
  </si>
  <si>
    <t>Incap Ltd.</t>
  </si>
  <si>
    <t>Intl. Coveyors</t>
  </si>
  <si>
    <t>Prestige Estates Pro</t>
  </si>
  <si>
    <t>Ram Ratna Wires</t>
  </si>
  <si>
    <t>Arihant Superstructu</t>
  </si>
  <si>
    <t>Ishaan Infrastru</t>
  </si>
  <si>
    <t>SecMark Consultancy</t>
  </si>
  <si>
    <t>Bharat Wire Ropes Lt</t>
  </si>
  <si>
    <t>Atul Ltd.</t>
  </si>
  <si>
    <t>Amber Enterprises</t>
  </si>
  <si>
    <t>Tokyo Plast Inte</t>
  </si>
  <si>
    <t>Genus Paper &amp; Boards</t>
  </si>
  <si>
    <t>Nitin Spinners</t>
  </si>
  <si>
    <t>Kalyani Investment</t>
  </si>
  <si>
    <t>Golden Tobacco Ltd.</t>
  </si>
  <si>
    <t>Ind. Inv Trust</t>
  </si>
  <si>
    <t>Axtel Industries</t>
  </si>
  <si>
    <t>PBM Polytex</t>
  </si>
  <si>
    <t>Setubandhan Infra</t>
  </si>
  <si>
    <t>Lambodhara Texti</t>
  </si>
  <si>
    <t>Svaraj Trd &amp; Age</t>
  </si>
  <si>
    <t>Polson Ltd.</t>
  </si>
  <si>
    <t>Privi Speciality Che</t>
  </si>
  <si>
    <t>Vardhman Polytex</t>
  </si>
  <si>
    <t>Niraj Cement Structu</t>
  </si>
  <si>
    <t>Yuken India</t>
  </si>
  <si>
    <t>Trent Ltd.</t>
  </si>
  <si>
    <t>Ishan Dyes &amp; Che</t>
  </si>
  <si>
    <t>Dyna Vision</t>
  </si>
  <si>
    <t>Allsec Technologies</t>
  </si>
  <si>
    <t>BCPL Railway Infrast</t>
  </si>
  <si>
    <t>Indigo Paints</t>
  </si>
  <si>
    <t>Retro Green Revoluti</t>
  </si>
  <si>
    <t>Bajaj Healthcare</t>
  </si>
  <si>
    <t>Surana Solar</t>
  </si>
  <si>
    <t>Saboo Sodium Ch</t>
  </si>
  <si>
    <t>Garnet Construct</t>
  </si>
  <si>
    <t>Hind. Hardy Spic</t>
  </si>
  <si>
    <t>Rajkumar Forge</t>
  </si>
  <si>
    <t>Cera Sanitaryware L</t>
  </si>
  <si>
    <t>OM Metals Infraproje</t>
  </si>
  <si>
    <t>CMI FPE Ltd.</t>
  </si>
  <si>
    <t>Zenith Fibres</t>
  </si>
  <si>
    <t>Indian Hume Pipe</t>
  </si>
  <si>
    <t>Delta Corp Ltd.</t>
  </si>
  <si>
    <t>Prima Plastics L</t>
  </si>
  <si>
    <t>Star Cement</t>
  </si>
  <si>
    <t>Andhra Paper</t>
  </si>
  <si>
    <t>Sanmit Infra</t>
  </si>
  <si>
    <t>ARSS Infrastructure</t>
  </si>
  <si>
    <t>Mafatlal Ind</t>
  </si>
  <si>
    <t>Rathi Bars Ltd.</t>
  </si>
  <si>
    <t>Karda Constructions</t>
  </si>
  <si>
    <t>Parsvnath Developers</t>
  </si>
  <si>
    <t>Saregama India Ltd.</t>
  </si>
  <si>
    <t>Hubtown</t>
  </si>
  <si>
    <t>VTM Ltd.</t>
  </si>
  <si>
    <t>Mahindra CIE Auto</t>
  </si>
  <si>
    <t>Sanofi India</t>
  </si>
  <si>
    <t>Titan Company</t>
  </si>
  <si>
    <t>ITL Industries</t>
  </si>
  <si>
    <t>Shiva Global Agro</t>
  </si>
  <si>
    <t>PDS Multi. Fashions</t>
  </si>
  <si>
    <t>Bharti Airtel</t>
  </si>
  <si>
    <t>EIH Ltd.</t>
  </si>
  <si>
    <t>PVR Ltd.</t>
  </si>
  <si>
    <t>Pricol L</t>
  </si>
  <si>
    <t>BGR Energy Systems</t>
  </si>
  <si>
    <t>Vadilal Indus.</t>
  </si>
  <si>
    <t>Alfred Herbert I</t>
  </si>
  <si>
    <t>Competent Automo</t>
  </si>
  <si>
    <t>Trescon L</t>
  </si>
  <si>
    <t>Orient Refractories</t>
  </si>
  <si>
    <t>Sastasundar Ventures</t>
  </si>
  <si>
    <t>Deepak Nitrite</t>
  </si>
  <si>
    <t>Jagan Lamps</t>
  </si>
  <si>
    <t>Modulex Construction</t>
  </si>
  <si>
    <t>Deepak Fertilisers</t>
  </si>
  <si>
    <t>Apollo TriCoat Tubes</t>
  </si>
  <si>
    <t>Redington (India) Lt</t>
  </si>
  <si>
    <t>AK Capital Services</t>
  </si>
  <si>
    <t>Emami</t>
  </si>
  <si>
    <t>Nesco Ltd.</t>
  </si>
  <si>
    <t>Siyaram Silk</t>
  </si>
  <si>
    <t>Arrow Greentech</t>
  </si>
  <si>
    <t>Vardhman Textiles Lt</t>
  </si>
  <si>
    <t>Variman Global Enter</t>
  </si>
  <si>
    <t>Fairchem Organics</t>
  </si>
  <si>
    <t>LT Foods Ltd.</t>
  </si>
  <si>
    <t>Sayaji Industries</t>
  </si>
  <si>
    <t>Themis Medicare Ltd.</t>
  </si>
  <si>
    <t>Agarwal Industrial C</t>
  </si>
  <si>
    <t>Anisha Impex Ltd.</t>
  </si>
  <si>
    <t>Rallis India</t>
  </si>
  <si>
    <t>Shiva Texyarn Ltd.</t>
  </si>
  <si>
    <t>HPL Electric &amp; Power</t>
  </si>
  <si>
    <t>SVP Global Ventures</t>
  </si>
  <si>
    <t>Rexnord Electron</t>
  </si>
  <si>
    <t>Hipolin Ltd.</t>
  </si>
  <si>
    <t>Wipro Ltd</t>
  </si>
  <si>
    <t>Rajshree Sugars</t>
  </si>
  <si>
    <t>Divi's Lab</t>
  </si>
  <si>
    <t>Shree Rama Multi</t>
  </si>
  <si>
    <t>Cipla</t>
  </si>
  <si>
    <t>Dhunseri Tea &amp; Indus</t>
  </si>
  <si>
    <t>Steel Cast</t>
  </si>
  <si>
    <t>Navneet Education</t>
  </si>
  <si>
    <t>Trident Texofab</t>
  </si>
  <si>
    <t>Atlanta Ltd.</t>
  </si>
  <si>
    <t>Rites Ltd.</t>
  </si>
  <si>
    <t>Hawkins Cookers</t>
  </si>
  <si>
    <t>RPG Life Sciences</t>
  </si>
  <si>
    <t>Huhtamaki India</t>
  </si>
  <si>
    <t>Kellton Tech Solutio</t>
  </si>
  <si>
    <t>Generic Pharmasec</t>
  </si>
  <si>
    <t>Donear Industrie</t>
  </si>
  <si>
    <t>Shalby</t>
  </si>
  <si>
    <t>Dynamatic Techno</t>
  </si>
  <si>
    <t>JaiprakashAssociates</t>
  </si>
  <si>
    <t>Jubilant Industries</t>
  </si>
  <si>
    <t>Gland Pharma</t>
  </si>
  <si>
    <t>Twentyfirst Cent</t>
  </si>
  <si>
    <t>HT Media</t>
  </si>
  <si>
    <t>Info Edge (India)</t>
  </si>
  <si>
    <t>Mahalaxmi Rubtec</t>
  </si>
  <si>
    <t>Valiant Organics</t>
  </si>
  <si>
    <t>Bal Pharma Ltd</t>
  </si>
  <si>
    <t>Ras Resorts</t>
  </si>
  <si>
    <t>Joindre Capital</t>
  </si>
  <si>
    <t>Uni Abex Alloys</t>
  </si>
  <si>
    <t>VRL Logistics Ltd.</t>
  </si>
  <si>
    <t>Filatex India</t>
  </si>
  <si>
    <t>Bafna Pharmaceutical</t>
  </si>
  <si>
    <t>Pondy Oxides &amp; C</t>
  </si>
  <si>
    <t>Choice Internati</t>
  </si>
  <si>
    <t>Advent Computer</t>
  </si>
  <si>
    <t>HDFC Bank</t>
  </si>
  <si>
    <t>Apollo Hospitals</t>
  </si>
  <si>
    <t>K&amp;R Rail Engineering</t>
  </si>
  <si>
    <t>SBI Cards and Pay</t>
  </si>
  <si>
    <t>Ahluwalia Contra</t>
  </si>
  <si>
    <t>Parshwanath Corp</t>
  </si>
  <si>
    <t>Hind Aluminium Indus</t>
  </si>
  <si>
    <t>Transgene Biotek</t>
  </si>
  <si>
    <t>Rajoo Engineers</t>
  </si>
  <si>
    <t>Cheviot Co Ltd</t>
  </si>
  <si>
    <t>Ramco Systems Lt</t>
  </si>
  <si>
    <t>BPL Ltd.</t>
  </si>
  <si>
    <t>Sanghi Industrie</t>
  </si>
  <si>
    <t>Himalaya Food Inter</t>
  </si>
  <si>
    <t>Ritesh Properties &amp;</t>
  </si>
  <si>
    <t>Eimco Elecon Ind</t>
  </si>
  <si>
    <t>Apcotex Industries L</t>
  </si>
  <si>
    <t>Alembic Pharmaceutic</t>
  </si>
  <si>
    <t>Tata Motors Ltd.</t>
  </si>
  <si>
    <t>Sudarshan Chem.</t>
  </si>
  <si>
    <t>Sanghvi Movers L</t>
  </si>
  <si>
    <t>Supreme Petroche</t>
  </si>
  <si>
    <t>Asian Hotels (East)</t>
  </si>
  <si>
    <t>Nikhil Adhesives</t>
  </si>
  <si>
    <t>Vardhman Holdings</t>
  </si>
  <si>
    <t>Shreevatsaa Fina</t>
  </si>
  <si>
    <t>Oricon Enterprises L</t>
  </si>
  <si>
    <t>Tuticorin Alk.</t>
  </si>
  <si>
    <t>HDFC</t>
  </si>
  <si>
    <t>Maan Aluminium Ltd.</t>
  </si>
  <si>
    <t>Bajaj Auto Ltd.</t>
  </si>
  <si>
    <t>Prabhat Dairy</t>
  </si>
  <si>
    <t>Tide Water Oil</t>
  </si>
  <si>
    <t>Mazda Ltd.</t>
  </si>
  <si>
    <t>IOL Chemicals and Ph</t>
  </si>
  <si>
    <t>Manali Petrochem</t>
  </si>
  <si>
    <t>Paul Merchants</t>
  </si>
  <si>
    <t>Revathi Equipment Lt</t>
  </si>
  <si>
    <t>Alps Industries</t>
  </si>
  <si>
    <t>UTI AMC</t>
  </si>
  <si>
    <t>Ramky Infrastructure</t>
  </si>
  <si>
    <t>Gallantt Ispat Ltd.</t>
  </si>
  <si>
    <t>Eldeco Housing &amp;</t>
  </si>
  <si>
    <t>Star Delta Trans</t>
  </si>
  <si>
    <t>Jyoti</t>
  </si>
  <si>
    <t>PVV Infra</t>
  </si>
  <si>
    <t>Balmer Lawrie Invest</t>
  </si>
  <si>
    <t>HDFC Life Insurance</t>
  </si>
  <si>
    <t>Tourism Finance</t>
  </si>
  <si>
    <t>Amit Internation</t>
  </si>
  <si>
    <t>Shoppers Stop</t>
  </si>
  <si>
    <t>Inox Leisure</t>
  </si>
  <si>
    <t>Excel Industries</t>
  </si>
  <si>
    <t>Tips Industries</t>
  </si>
  <si>
    <t>Best Agrolife</t>
  </si>
  <si>
    <t>United Drilling Tool</t>
  </si>
  <si>
    <t>Nestle India</t>
  </si>
  <si>
    <t>Vikas Proppant &amp; Gra</t>
  </si>
  <si>
    <t>VST Industries</t>
  </si>
  <si>
    <t>Ram Info</t>
  </si>
  <si>
    <t>GRM Overseas</t>
  </si>
  <si>
    <t>Ponni Sugars (Erode)</t>
  </si>
  <si>
    <t>Bharat Forge</t>
  </si>
  <si>
    <t>Shalibhadra Fin.</t>
  </si>
  <si>
    <t>Morepen Labs.Lt</t>
  </si>
  <si>
    <t>Sandu Pharmaceut</t>
  </si>
  <si>
    <t>Gala Global Products</t>
  </si>
  <si>
    <t>Alkyl Amines Che</t>
  </si>
  <si>
    <t>ICICI Bank</t>
  </si>
  <si>
    <t>TD Power Systems Ltd</t>
  </si>
  <si>
    <t>Ajanta Soya Ltd.</t>
  </si>
  <si>
    <t>Plastiblends Ind</t>
  </si>
  <si>
    <t>Federal-Mogul Goetze</t>
  </si>
  <si>
    <t>ICICI Pru Life</t>
  </si>
  <si>
    <t>Zydus Wellness Ltd.</t>
  </si>
  <si>
    <t>Ritco Logistics</t>
  </si>
  <si>
    <t>Archidply Industries</t>
  </si>
  <si>
    <t>MothersonSumiSystems</t>
  </si>
  <si>
    <t>United Breweries Ltd</t>
  </si>
  <si>
    <t>Sreeleathers Ltd.</t>
  </si>
  <si>
    <t>Capri Global Capital</t>
  </si>
  <si>
    <t>Marksans Pharma</t>
  </si>
  <si>
    <t>Tiaan Consumer</t>
  </si>
  <si>
    <t>Menon Pistons Li</t>
  </si>
  <si>
    <t>Infosys</t>
  </si>
  <si>
    <t>JK Lakshmi Cement L</t>
  </si>
  <si>
    <t>Colgate Palm.</t>
  </si>
  <si>
    <t>Borosil Renewables</t>
  </si>
  <si>
    <t>Archies Ltd.</t>
  </si>
  <si>
    <t>Symphony</t>
  </si>
  <si>
    <t>Ludlow Jute &amp; Specia</t>
  </si>
  <si>
    <t>Pritish Nandy Comm.</t>
  </si>
  <si>
    <t>Fortis Healthcare</t>
  </si>
  <si>
    <t>Dr. Agarwal's Ey</t>
  </si>
  <si>
    <t>Astron Paper &amp; Board</t>
  </si>
  <si>
    <t>Paramount Commun</t>
  </si>
  <si>
    <t>Hariyana Ship-Br</t>
  </si>
  <si>
    <t>Happiest Minds Tech</t>
  </si>
  <si>
    <t>Sadbhav Infrastructu</t>
  </si>
  <si>
    <t>Seven Hill Industrie</t>
  </si>
  <si>
    <t>Saven Technologies L</t>
  </si>
  <si>
    <t>Capital Trade Links</t>
  </si>
  <si>
    <t>RSWM Ltd.</t>
  </si>
  <si>
    <t>Arunis Abode</t>
  </si>
  <si>
    <t>Ravinder Heights</t>
  </si>
  <si>
    <t>Mindteck (India)</t>
  </si>
  <si>
    <t>GMM Pfaudler Ltd</t>
  </si>
  <si>
    <t>Seshasayee Paper</t>
  </si>
  <si>
    <t>Bannari Amman Spinni</t>
  </si>
  <si>
    <t>Sportking India</t>
  </si>
  <si>
    <t>Ingersoll Rand</t>
  </si>
  <si>
    <t>Lactose (India)</t>
  </si>
  <si>
    <t>Speciality Restauran</t>
  </si>
  <si>
    <t>Music Broadcast</t>
  </si>
  <si>
    <t>SBI Life Insurance</t>
  </si>
  <si>
    <t>Advance Metering Tec</t>
  </si>
  <si>
    <t>Timken India Ltd</t>
  </si>
  <si>
    <t>ATV Projects</t>
  </si>
  <si>
    <t>Reliance Inds.</t>
  </si>
  <si>
    <t>Zee Media Corp</t>
  </si>
  <si>
    <t>TGB Banquets</t>
  </si>
  <si>
    <t>Gennex Laboratories</t>
  </si>
  <si>
    <t>Alicon Castalloy</t>
  </si>
  <si>
    <t>Zodiac Clothing</t>
  </si>
  <si>
    <t>Menon Bearings L</t>
  </si>
  <si>
    <t>Jindal Drilling</t>
  </si>
  <si>
    <t>Kallam Textiles</t>
  </si>
  <si>
    <t>Pioneer Investco</t>
  </si>
  <si>
    <t>Patels Airtemp</t>
  </si>
  <si>
    <t>Bombay Oxygen Invest</t>
  </si>
  <si>
    <t>KSE</t>
  </si>
  <si>
    <t>Prism Johnson</t>
  </si>
  <si>
    <t>Power Grid Corpo</t>
  </si>
  <si>
    <t>Lumax Auto Technolog</t>
  </si>
  <si>
    <t>Inox Wind Ltd.</t>
  </si>
  <si>
    <t>EPSOM Properties Ltd</t>
  </si>
  <si>
    <t>Swelect Energy Syste</t>
  </si>
  <si>
    <t>Magellanic Cloud</t>
  </si>
  <si>
    <t>Darshan Orna</t>
  </si>
  <si>
    <t>Shri Bajrang Allianc</t>
  </si>
  <si>
    <t>Fermenta Biotech</t>
  </si>
  <si>
    <t>Umiya Tubes Ltd.</t>
  </si>
  <si>
    <t>Uniphos Enterprises</t>
  </si>
  <si>
    <t>Lokesh Machines</t>
  </si>
  <si>
    <t>Guj. Terce Labor</t>
  </si>
  <si>
    <t>Balurghat Techno</t>
  </si>
  <si>
    <t>Guj. Themis Bios</t>
  </si>
  <si>
    <t>Berger Paints I</t>
  </si>
  <si>
    <t>Prime Securities</t>
  </si>
  <si>
    <t>Garment Mantra Life</t>
  </si>
  <si>
    <t>Virinchi L</t>
  </si>
  <si>
    <t>STL Global Ltd.</t>
  </si>
  <si>
    <t>Sanathnagar Enterpri</t>
  </si>
  <si>
    <t>Shree Renuka Sugars</t>
  </si>
  <si>
    <t>IIFL Securities</t>
  </si>
  <si>
    <t>Sakthi Sugars</t>
  </si>
  <si>
    <t>Cadila Healthcar</t>
  </si>
  <si>
    <t>Ashiana Housing Ltd.</t>
  </si>
  <si>
    <t>Artemis Electricals</t>
  </si>
  <si>
    <t>Surya Roshni Ltd</t>
  </si>
  <si>
    <t>Vakrangee</t>
  </si>
  <si>
    <t>Career Point</t>
  </si>
  <si>
    <t>Fortune Internat</t>
  </si>
  <si>
    <t>Shree Ajit Pulp</t>
  </si>
  <si>
    <t>WABCO India</t>
  </si>
  <si>
    <t>India Motor Part</t>
  </si>
  <si>
    <t>Radico Khaitan Ltd.</t>
  </si>
  <si>
    <t>Arfin India</t>
  </si>
  <si>
    <t>Riba Textiles Li</t>
  </si>
  <si>
    <t>Tata Consultancy</t>
  </si>
  <si>
    <t>Nettlinx Ltd.</t>
  </si>
  <si>
    <t>Fervent Synergies L</t>
  </si>
  <si>
    <t>Paisalo Digital L</t>
  </si>
  <si>
    <t>ADF Foods Ltd.</t>
  </si>
  <si>
    <t>R Systems Internat.</t>
  </si>
  <si>
    <t>Capital India Fin</t>
  </si>
  <si>
    <t>Hitech Corporation</t>
  </si>
  <si>
    <t>Indian Toners</t>
  </si>
  <si>
    <t>TPL Plastech Ltd.</t>
  </si>
  <si>
    <t>Nippon Life AMC</t>
  </si>
  <si>
    <t>Avantel Ltd.</t>
  </si>
  <si>
    <t>Raghav Productivity</t>
  </si>
  <si>
    <t>Just Dial</t>
  </si>
  <si>
    <t>Nxtdigital L</t>
  </si>
  <si>
    <t>Uflex Ltd.</t>
  </si>
  <si>
    <t>GlaxoSmithKline Phar</t>
  </si>
  <si>
    <t>+ 18.33</t>
  </si>
  <si>
    <t>+ 17.10</t>
  </si>
  <si>
    <t>+ 16.19</t>
  </si>
  <si>
    <t>+ 16.01</t>
  </si>
  <si>
    <t>+ 13.88</t>
  </si>
  <si>
    <t>+ 13.07</t>
  </si>
  <si>
    <t>+ 10.46</t>
  </si>
  <si>
    <t>+ 10.41</t>
  </si>
  <si>
    <t>+ 10.02</t>
  </si>
  <si>
    <t>+ 9.65</t>
  </si>
  <si>
    <t>+ 9.03</t>
  </si>
  <si>
    <t>+ 8.69</t>
  </si>
  <si>
    <t>+ 8.01</t>
  </si>
  <si>
    <t>+ 7.92</t>
  </si>
  <si>
    <t>+ 7.91</t>
  </si>
  <si>
    <t>+ 7.69</t>
  </si>
  <si>
    <t>+ 7.61</t>
  </si>
  <si>
    <t>+ 7.52</t>
  </si>
  <si>
    <t>+ 7.34</t>
  </si>
  <si>
    <t>+ 7.28</t>
  </si>
  <si>
    <t>+ 7.22</t>
  </si>
  <si>
    <t>+ 7.18</t>
  </si>
  <si>
    <t>+ 7.08</t>
  </si>
  <si>
    <t>+ 6.94</t>
  </si>
  <si>
    <t>+ 6.91</t>
  </si>
  <si>
    <t>+ 6.77</t>
  </si>
  <si>
    <t>+ 6.71</t>
  </si>
  <si>
    <t>+ 6.51</t>
  </si>
  <si>
    <t>+ 6.48</t>
  </si>
  <si>
    <t>+ 6.47</t>
  </si>
  <si>
    <t>+ 6.20</t>
  </si>
  <si>
    <t>+ 6.19</t>
  </si>
  <si>
    <t>+ 6.11</t>
  </si>
  <si>
    <t>+ 5.96</t>
  </si>
  <si>
    <t>+ 5.91</t>
  </si>
  <si>
    <t>+ 5.82</t>
  </si>
  <si>
    <t>+ 5.62</t>
  </si>
  <si>
    <t>+ 5.51</t>
  </si>
  <si>
    <t>+ 5.42</t>
  </si>
  <si>
    <t>+ 5.23</t>
  </si>
  <si>
    <t>+ 5.18</t>
  </si>
  <si>
    <t>+ 5.14</t>
  </si>
  <si>
    <t>+ 5.12</t>
  </si>
  <si>
    <t>+ 5.07</t>
  </si>
  <si>
    <t>+ 5.06</t>
  </si>
  <si>
    <t>Neogem India Ltd</t>
  </si>
  <si>
    <t>Indra Industries</t>
  </si>
  <si>
    <t>Alfavision Over</t>
  </si>
  <si>
    <t>Daulat Securitie</t>
  </si>
  <si>
    <t>Abirami Financia</t>
  </si>
  <si>
    <t>One Global Service</t>
  </si>
  <si>
    <t>Nagpur Power</t>
  </si>
  <si>
    <t>Malu Paper Mills</t>
  </si>
  <si>
    <t>+ 4.56</t>
  </si>
  <si>
    <t>+ 4.53</t>
  </si>
  <si>
    <t>D &amp; H India</t>
  </si>
  <si>
    <t>Radaan Mediaworks(I)</t>
  </si>
  <si>
    <t>+ 4.13</t>
  </si>
  <si>
    <t>+ 3.89</t>
  </si>
  <si>
    <t>+ 3.87</t>
  </si>
  <si>
    <t>+ 3.83</t>
  </si>
  <si>
    <t>+ 3.69</t>
  </si>
  <si>
    <t>+ 3.67</t>
  </si>
  <si>
    <t>+ 3.54</t>
  </si>
  <si>
    <t>+ 3.48</t>
  </si>
  <si>
    <t>+ 3.46</t>
  </si>
  <si>
    <t>+ 3.35</t>
  </si>
  <si>
    <t>+ 3.34</t>
  </si>
  <si>
    <t>+ 3.29</t>
  </si>
  <si>
    <t>+ 3.27</t>
  </si>
  <si>
    <t>Orient Beverages</t>
  </si>
  <si>
    <t>Hindoostan Mills</t>
  </si>
  <si>
    <t>Continental Petr</t>
  </si>
  <si>
    <t>Facor Alloys Ltd.</t>
  </si>
  <si>
    <t>Shree Worstex</t>
  </si>
  <si>
    <t>Flomic Global Logist</t>
  </si>
  <si>
    <t>NoidaTollBridge</t>
  </si>
  <si>
    <t>+ 1.64</t>
  </si>
  <si>
    <t>Mangalam Industrial</t>
  </si>
  <si>
    <t>+ 1.37</t>
  </si>
  <si>
    <t>Reliance Home Fin</t>
  </si>
  <si>
    <t>ACCEL L</t>
  </si>
  <si>
    <t>Guj. Leasing Fin</t>
  </si>
  <si>
    <t>Margo Finance</t>
  </si>
  <si>
    <t>Tirupati Starch</t>
  </si>
  <si>
    <t>Surat Textile Mi</t>
  </si>
  <si>
    <t>Hisar Metal Indu</t>
  </si>
  <si>
    <t>Bharat Bhushan Fin.</t>
  </si>
  <si>
    <t>Indus Finance</t>
  </si>
  <si>
    <t>Shiva Cement Ltd</t>
  </si>
  <si>
    <t>Fredun Pharma</t>
  </si>
  <si>
    <t>Tiger Logistics (Ind</t>
  </si>
  <si>
    <t>Amrutanjan Health Ca</t>
  </si>
  <si>
    <t>+ 0.03</t>
  </si>
  <si>
    <t>+ 0.00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</si>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</sst>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9" tint="0.79998168889431442"/>
        <bgColor theme="9" tint="0.79998168889431442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0" fillId="0" borderId="1" xfId="0" applyBorder="1"/>
    <xf numFmtId="10" fontId="0" fillId="0" borderId="1" xfId="0" applyNumberFormat="1" applyBorder="1"/>
    <xf numFmtId="0" fontId="0" fillId="0" borderId="1" xfId="0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10" fontId="0" fillId="0" borderId="11" xfId="1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8" fontId="0" fillId="0" borderId="0" xfId="0" applyNumberFormat="1"/>
    <xf numFmtId="18" fontId="0" fillId="0" borderId="0" xfId="0" quotePrefix="1" applyNumberFormat="1"/>
    <xf numFmtId="14" fontId="0" fillId="0" borderId="0" xfId="0" quotePrefix="1" applyNumberFormat="1"/>
    <xf numFmtId="0" fontId="0" fillId="0" borderId="0" xfId="0" applyNumberFormat="1"/>
    <xf numFmtId="0" fontId="5" fillId="2" borderId="2" xfId="2" applyBorder="1" applyAlignment="1">
      <alignment horizontal="center"/>
    </xf>
    <xf numFmtId="0" fontId="5" fillId="2" borderId="3" xfId="2" applyBorder="1" applyAlignment="1">
      <alignment horizontal="center"/>
    </xf>
    <xf numFmtId="0" fontId="5" fillId="2" borderId="4" xfId="2" applyBorder="1" applyAlignment="1">
      <alignment horizontal="center"/>
    </xf>
    <xf numFmtId="0" fontId="6" fillId="3" borderId="5" xfId="3" applyBorder="1"/>
    <xf numFmtId="0" fontId="6" fillId="3" borderId="7" xfId="3" applyBorder="1" applyAlignment="1">
      <alignment horizontal="center"/>
    </xf>
    <xf numFmtId="0" fontId="6" fillId="3" borderId="10" xfId="3" applyBorder="1"/>
    <xf numFmtId="0" fontId="6" fillId="3" borderId="12" xfId="3" applyBorder="1" applyAlignment="1">
      <alignment horizontal="center"/>
    </xf>
    <xf numFmtId="0" fontId="5" fillId="2" borderId="5" xfId="2" applyBorder="1" applyAlignment="1">
      <alignment horizontal="center"/>
    </xf>
    <xf numFmtId="0" fontId="5" fillId="2" borderId="8" xfId="2" applyBorder="1" applyAlignment="1">
      <alignment horizontal="center"/>
    </xf>
    <xf numFmtId="0" fontId="5" fillId="2" borderId="10" xfId="2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6" fillId="3" borderId="13" xfId="3" applyBorder="1" applyAlignment="1">
      <alignment horizontal="center"/>
    </xf>
    <xf numFmtId="0" fontId="6" fillId="3" borderId="14" xfId="3" applyBorder="1" applyAlignment="1">
      <alignment horizontal="center"/>
    </xf>
    <xf numFmtId="0" fontId="6" fillId="3" borderId="15" xfId="3" applyBorder="1" applyAlignment="1">
      <alignment horizont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4" borderId="24" xfId="0" applyNumberFormat="1" applyFont="1" applyFill="1" applyBorder="1"/>
    <xf numFmtId="0" fontId="0" fillId="0" borderId="24" xfId="0" applyNumberFormat="1" applyFont="1" applyBorder="1"/>
  </cellXfs>
  <cellStyles count="4">
    <cellStyle name="Bad" xfId="3" builtinId="27"/>
    <cellStyle name="Good" xfId="2" builtinId="26"/>
    <cellStyle name="Normal" xfId="0" builtinId="0"/>
    <cellStyle name="Percent" xfId="1" builtinId="5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ont>
        <b/>
        <i val="0"/>
        <color theme="5" tint="0.59996337778862885"/>
      </font>
      <fill>
        <patternFill>
          <bgColor rgb="FF00206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26" fmlaLink="$A$3" max="12" min="1" page="10" val="2"/>
</file>

<file path=xl/ctrlProps/ctrlProp2.xml><?xml version="1.0" encoding="utf-8"?>
<formControlPr xmlns="http://schemas.microsoft.com/office/spreadsheetml/2009/9/main" objectType="Spin" dx="26" fmlaLink="$C$4" max="9999" min="1000" page="10" val="202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2</xdr:row>
          <xdr:rowOff>0</xdr:rowOff>
        </xdr:from>
        <xdr:to>
          <xdr:col>0</xdr:col>
          <xdr:colOff>220980</xdr:colOff>
          <xdr:row>3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3</xdr:row>
          <xdr:rowOff>7620</xdr:rowOff>
        </xdr:from>
        <xdr:to>
          <xdr:col>0</xdr:col>
          <xdr:colOff>220980</xdr:colOff>
          <xdr:row>4</xdr:row>
          <xdr:rowOff>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12</xdr:row>
      <xdr:rowOff>71437</xdr:rowOff>
    </xdr:from>
    <xdr:to>
      <xdr:col>1</xdr:col>
      <xdr:colOff>390525</xdr:colOff>
      <xdr:row>13</xdr:row>
      <xdr:rowOff>176212</xdr:rowOff>
    </xdr:to>
    <xdr:sp macro="[0]!Clear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57225" y="2505075"/>
          <a:ext cx="847725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Clear</a:t>
          </a:r>
        </a:p>
      </xdr:txBody>
    </xdr:sp>
    <xdr:clientData/>
  </xdr:twoCellAnchor>
  <xdr:twoCellAnchor>
    <xdr:from>
      <xdr:col>1</xdr:col>
      <xdr:colOff>471488</xdr:colOff>
      <xdr:row>12</xdr:row>
      <xdr:rowOff>71437</xdr:rowOff>
    </xdr:from>
    <xdr:to>
      <xdr:col>2</xdr:col>
      <xdr:colOff>33338</xdr:colOff>
      <xdr:row>13</xdr:row>
      <xdr:rowOff>176212</xdr:rowOff>
    </xdr:to>
    <xdr:sp macro="[0]!print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585913" y="2505075"/>
          <a:ext cx="847725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Print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67B8F69-79BA-4C29-BB3A-865ED55BFB98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Company" tableColumnId="1"/>
      <queryTableField id="2" name="Group" tableColumnId="2"/>
      <queryTableField id="3" name="Prev Close (Rs)" tableColumnId="3"/>
      <queryTableField id="4" name="Current Price (Rs)" tableColumnId="4"/>
      <queryTableField id="5" name="% Change" tableColumnId="5"/>
      <queryTableField id="6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0689918-3828-4D33-ABCE-7178BBFDC50A}" autoFormatId="16" applyNumberFormats="0" applyBorderFormats="0" applyFontFormats="0" applyPatternFormats="0" applyAlignmentFormats="0" applyWidthHeightFormats="0">
  <queryTableRefresh nextId="6">
    <queryTableFields count="5">
      <queryTableField id="1" name="Company" tableColumnId="1"/>
      <queryTableField id="2" name="Group" tableColumnId="2"/>
      <queryTableField id="3" name="Prev Close (Rs)" tableColumnId="3"/>
      <queryTableField id="4" name="Current Price (Rs)" tableColumnId="4"/>
      <queryTableField id="5" name="% Chang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4C5F8E-664A-4A6E-B00F-C194E4731BFD}" name="Table_0" displayName="Table_0" ref="A1:F1751" tableType="queryTable" totalsRowShown="0">
  <autoFilter ref="A1:F1751" xr:uid="{5A2E603F-559E-4639-B330-A26E402F69E6}"/>
  <tableColumns count="6">
    <tableColumn id="1" xr3:uid="{4418F381-9FEC-4B4C-8C34-7C8638865251}" uniqueName="1" name="Company" queryTableFieldId="1" dataDxfId="3"/>
    <tableColumn id="2" xr3:uid="{CB0E7C22-0446-4A57-A361-DB4A05962218}" uniqueName="2" name="Group" queryTableFieldId="2" dataDxfId="2"/>
    <tableColumn id="3" xr3:uid="{E7FCAB35-680E-4D0B-871F-C84AD41FC91C}" uniqueName="3" name="Prev Close (Rs)" queryTableFieldId="3"/>
    <tableColumn id="4" xr3:uid="{C78D4E00-C2DB-4565-ADDF-FFFB688E1FD0}" uniqueName="4" name="Current Price (Rs)" queryTableFieldId="4"/>
    <tableColumn id="5" xr3:uid="{AA3C3D43-95CE-44E0-AF10-E4A6D2AE609E}" uniqueName="5" name="% Change" queryTableFieldId="5" dataDxfId="1"/>
    <tableColumn id="6" xr3:uid="{49A2215F-E24D-48A3-B7B3-CA5BE3E386F5}" uniqueName="6" name="Column1" queryTableFieldId="6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2919D8-6039-45C3-9CAF-00D3D64C3FB9}" name="Table_0__2" displayName="Table_0__2" ref="A1:E924" tableType="queryTable" totalsRowShown="0">
  <autoFilter ref="A1:E924" xr:uid="{388B8C6A-C0DF-4F93-850D-4686957E0E3E}"/>
  <tableColumns count="5">
    <tableColumn id="1" xr3:uid="{00BFB351-EE92-4D6F-8BC6-07D181E1DB99}" uniqueName="1" name="Company" queryTableFieldId="1" dataDxfId="5"/>
    <tableColumn id="2" xr3:uid="{9BDBBDC0-B3FF-4795-9666-F41E8A992241}" uniqueName="2" name="Group" queryTableFieldId="2" dataDxfId="4"/>
    <tableColumn id="3" xr3:uid="{46CB6EF4-A516-475C-89A6-03811CAD16D6}" uniqueName="3" name="Prev Close (Rs)" queryTableFieldId="3"/>
    <tableColumn id="4" xr3:uid="{1BD1EEB2-0ED4-4F3C-BDF2-A3625D36A625}" uniqueName="4" name="Current Price (Rs)" queryTableFieldId="4"/>
    <tableColumn id="5" xr3:uid="{CCFCF5DF-6E3F-44C2-9E92-422C45A6FCE4}" uniqueName="5" name="% Change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61EFE-09E8-43FE-8BFB-895CF143E546}">
  <sheetPr codeName="Sheet1"/>
  <dimension ref="A1:O38"/>
  <sheetViews>
    <sheetView showGridLines="0" zoomScale="130" zoomScaleNormal="130" workbookViewId="0">
      <selection activeCell="B20" sqref="B20"/>
    </sheetView>
  </sheetViews>
  <sheetFormatPr defaultRowHeight="15.6" x14ac:dyDescent="0.3"/>
  <cols>
    <col min="2" max="7" width="8.796875" style="1"/>
    <col min="8" max="8" width="10.09765625" style="1" bestFit="1" customWidth="1"/>
    <col min="9" max="9" width="9" style="1" customWidth="1"/>
    <col min="10" max="10" width="7.8984375" style="1" customWidth="1"/>
    <col min="11" max="11" width="9.296875" style="1" customWidth="1"/>
    <col min="12" max="12" width="8.796875" style="1"/>
    <col min="13" max="13" width="2.09765625" customWidth="1"/>
    <col min="14" max="14" width="20.69921875" bestFit="1" customWidth="1"/>
  </cols>
  <sheetData>
    <row r="1" spans="1:15" ht="16.2" thickBot="1" x14ac:dyDescent="0.35">
      <c r="D1" s="43" t="s">
        <v>70</v>
      </c>
      <c r="E1" s="44"/>
      <c r="F1" s="20" t="s">
        <v>23</v>
      </c>
    </row>
    <row r="2" spans="1:15" ht="16.2" thickBot="1" x14ac:dyDescent="0.35"/>
    <row r="3" spans="1:15" ht="16.2" thickBot="1" x14ac:dyDescent="0.35">
      <c r="A3" s="7" t="s">
        <v>0</v>
      </c>
      <c r="B3" s="8" t="s">
        <v>1</v>
      </c>
      <c r="C3" s="8" t="s">
        <v>2</v>
      </c>
      <c r="D3" s="8" t="s">
        <v>3</v>
      </c>
      <c r="E3" s="8" t="s">
        <v>4</v>
      </c>
      <c r="F3" s="8" t="s">
        <v>5</v>
      </c>
      <c r="G3" s="8" t="s">
        <v>6</v>
      </c>
      <c r="H3" s="8" t="s">
        <v>7</v>
      </c>
      <c r="I3" s="8" t="s">
        <v>8</v>
      </c>
      <c r="J3" s="8" t="s">
        <v>49</v>
      </c>
      <c r="K3" s="8" t="s">
        <v>9</v>
      </c>
      <c r="L3" s="9" t="s">
        <v>59</v>
      </c>
    </row>
    <row r="4" spans="1:15" x14ac:dyDescent="0.3">
      <c r="A4" s="10" t="s">
        <v>10</v>
      </c>
      <c r="B4" s="11">
        <v>43</v>
      </c>
      <c r="C4" s="11">
        <v>37</v>
      </c>
      <c r="D4" s="11">
        <v>59</v>
      </c>
      <c r="E4" s="11">
        <v>45</v>
      </c>
      <c r="F4" s="11">
        <v>53</v>
      </c>
      <c r="G4" s="11">
        <f>SUM(B4:F4)</f>
        <v>237</v>
      </c>
      <c r="H4" s="12">
        <f>AVERAGE(B4:F4)/100</f>
        <v>0.47399999999999998</v>
      </c>
      <c r="I4" s="11" t="str">
        <f>IF(H4&gt;=50%,"Pass","Fail")</f>
        <v>Fail</v>
      </c>
      <c r="J4" s="11" t="str">
        <f>IF(AND(B4&gt;=50,C4&gt;=50,D4&gt;=50,E4&gt;=50,F4&gt;=50),"Pass","Fail")</f>
        <v>Fail</v>
      </c>
      <c r="K4" s="11" t="str">
        <f>IF(J4="Fail","",IF(H4&gt;=80%,"A+",IF(H4&gt;=70%,"A",IF(H4&gt;=60%,"B+","B"))))</f>
        <v/>
      </c>
      <c r="L4" s="13">
        <f>RANK(H4,$H$4:$H$29,0)</f>
        <v>26</v>
      </c>
    </row>
    <row r="5" spans="1:15" x14ac:dyDescent="0.3">
      <c r="A5" s="14" t="s">
        <v>11</v>
      </c>
      <c r="B5" s="5">
        <v>80</v>
      </c>
      <c r="C5" s="5">
        <v>64</v>
      </c>
      <c r="D5" s="5">
        <v>61</v>
      </c>
      <c r="E5" s="5">
        <v>84</v>
      </c>
      <c r="F5" s="5">
        <v>82</v>
      </c>
      <c r="G5" s="5">
        <f t="shared" ref="G5:G29" si="0">SUM(B5:F5)</f>
        <v>371</v>
      </c>
      <c r="H5" s="6">
        <f t="shared" ref="H5:H29" si="1">AVERAGE(B5:F5)/100</f>
        <v>0.74199999999999999</v>
      </c>
      <c r="I5" s="5" t="str">
        <f t="shared" ref="I5:I29" si="2">IF(H5&gt;=50%,"Pass","Fail")</f>
        <v>Pass</v>
      </c>
      <c r="J5" s="5" t="str">
        <f t="shared" ref="J5:J29" si="3">IF(AND(B5&gt;=50,C5&gt;=50,D5&gt;=50,E5&gt;=50,F5&gt;=50),"Pass","Fail")</f>
        <v>Pass</v>
      </c>
      <c r="K5" s="5" t="str">
        <f t="shared" ref="K5:K29" si="4">IF(J5="Fail","",IF(H5&gt;=80%,"A+",IF(H5&gt;=70%,"A",IF(H5&gt;=60%,"B+","B"))))</f>
        <v>A</v>
      </c>
      <c r="L5" s="15">
        <f t="shared" ref="L5:L29" si="5">RANK(H5,$H$4:$H$29,0)</f>
        <v>12</v>
      </c>
      <c r="N5" s="3" t="s">
        <v>67</v>
      </c>
      <c r="O5" s="4">
        <f>MIN(H4:H29)</f>
        <v>0.47399999999999998</v>
      </c>
    </row>
    <row r="6" spans="1:15" x14ac:dyDescent="0.3">
      <c r="A6" s="14" t="s">
        <v>12</v>
      </c>
      <c r="B6" s="5">
        <v>35</v>
      </c>
      <c r="C6" s="5">
        <v>81</v>
      </c>
      <c r="D6" s="5">
        <v>69</v>
      </c>
      <c r="E6" s="5">
        <v>87</v>
      </c>
      <c r="F6" s="5">
        <v>39</v>
      </c>
      <c r="G6" s="5">
        <f t="shared" si="0"/>
        <v>311</v>
      </c>
      <c r="H6" s="6">
        <f t="shared" si="1"/>
        <v>0.622</v>
      </c>
      <c r="I6" s="5" t="str">
        <f t="shared" si="2"/>
        <v>Pass</v>
      </c>
      <c r="J6" s="5" t="str">
        <f t="shared" si="3"/>
        <v>Fail</v>
      </c>
      <c r="K6" s="5" t="str">
        <f t="shared" si="4"/>
        <v/>
      </c>
      <c r="L6" s="15">
        <f t="shared" si="5"/>
        <v>21</v>
      </c>
      <c r="N6" s="3" t="s">
        <v>62</v>
      </c>
      <c r="O6" s="4">
        <f>MAX(H4:H29)</f>
        <v>0.87</v>
      </c>
    </row>
    <row r="7" spans="1:15" x14ac:dyDescent="0.3">
      <c r="A7" s="14" t="s">
        <v>13</v>
      </c>
      <c r="B7" s="5">
        <v>52</v>
      </c>
      <c r="C7" s="5">
        <v>90</v>
      </c>
      <c r="D7" s="5">
        <v>78</v>
      </c>
      <c r="E7" s="5">
        <v>88</v>
      </c>
      <c r="F7" s="5">
        <v>88</v>
      </c>
      <c r="G7" s="5">
        <f t="shared" si="0"/>
        <v>396</v>
      </c>
      <c r="H7" s="6">
        <f t="shared" si="1"/>
        <v>0.79200000000000004</v>
      </c>
      <c r="I7" s="5" t="str">
        <f t="shared" si="2"/>
        <v>Pass</v>
      </c>
      <c r="J7" s="5" t="str">
        <f t="shared" si="3"/>
        <v>Pass</v>
      </c>
      <c r="K7" s="5" t="str">
        <f t="shared" si="4"/>
        <v>A</v>
      </c>
      <c r="L7" s="15">
        <f t="shared" si="5"/>
        <v>6</v>
      </c>
      <c r="N7" s="3" t="s">
        <v>63</v>
      </c>
      <c r="O7" s="4">
        <f>LARGE(H4:H29,2)</f>
        <v>0.85400000000000009</v>
      </c>
    </row>
    <row r="8" spans="1:15" x14ac:dyDescent="0.3">
      <c r="A8" s="14" t="s">
        <v>14</v>
      </c>
      <c r="B8" s="5">
        <v>50</v>
      </c>
      <c r="C8" s="5">
        <v>95</v>
      </c>
      <c r="D8" s="5">
        <v>76</v>
      </c>
      <c r="E8" s="5">
        <v>75</v>
      </c>
      <c r="F8" s="5">
        <v>76</v>
      </c>
      <c r="G8" s="5">
        <f t="shared" si="0"/>
        <v>372</v>
      </c>
      <c r="H8" s="6">
        <f t="shared" si="1"/>
        <v>0.74400000000000011</v>
      </c>
      <c r="I8" s="5" t="str">
        <f t="shared" si="2"/>
        <v>Pass</v>
      </c>
      <c r="J8" s="5" t="str">
        <f t="shared" si="3"/>
        <v>Pass</v>
      </c>
      <c r="K8" s="5" t="str">
        <f t="shared" si="4"/>
        <v>A</v>
      </c>
      <c r="L8" s="15">
        <f t="shared" si="5"/>
        <v>11</v>
      </c>
      <c r="N8" s="3" t="s">
        <v>64</v>
      </c>
      <c r="O8" s="4">
        <f>SMALL(H4:H29,2)</f>
        <v>0.49</v>
      </c>
    </row>
    <row r="9" spans="1:15" x14ac:dyDescent="0.3">
      <c r="A9" s="14" t="s">
        <v>15</v>
      </c>
      <c r="B9" s="5">
        <v>81</v>
      </c>
      <c r="C9" s="5">
        <v>81</v>
      </c>
      <c r="D9" s="5">
        <v>88</v>
      </c>
      <c r="E9" s="5">
        <v>87</v>
      </c>
      <c r="F9" s="5">
        <v>98</v>
      </c>
      <c r="G9" s="5">
        <f t="shared" si="0"/>
        <v>435</v>
      </c>
      <c r="H9" s="6">
        <f t="shared" si="1"/>
        <v>0.87</v>
      </c>
      <c r="I9" s="5" t="str">
        <f t="shared" si="2"/>
        <v>Pass</v>
      </c>
      <c r="J9" s="5" t="str">
        <f t="shared" si="3"/>
        <v>Pass</v>
      </c>
      <c r="K9" s="5" t="str">
        <f t="shared" si="4"/>
        <v>A+</v>
      </c>
      <c r="L9" s="15">
        <f t="shared" si="5"/>
        <v>1</v>
      </c>
      <c r="N9" s="3" t="s">
        <v>65</v>
      </c>
      <c r="O9" s="3">
        <f>COUNTA(A4:A29)</f>
        <v>26</v>
      </c>
    </row>
    <row r="10" spans="1:15" x14ac:dyDescent="0.3">
      <c r="A10" s="14" t="s">
        <v>16</v>
      </c>
      <c r="B10" s="5">
        <v>73</v>
      </c>
      <c r="C10" s="5">
        <v>80</v>
      </c>
      <c r="D10" s="5">
        <v>66</v>
      </c>
      <c r="E10" s="5">
        <v>67</v>
      </c>
      <c r="F10" s="5">
        <v>60</v>
      </c>
      <c r="G10" s="5">
        <f t="shared" si="0"/>
        <v>346</v>
      </c>
      <c r="H10" s="6">
        <f t="shared" si="1"/>
        <v>0.69200000000000006</v>
      </c>
      <c r="I10" s="5" t="str">
        <f t="shared" si="2"/>
        <v>Pass</v>
      </c>
      <c r="J10" s="5" t="str">
        <f t="shared" si="3"/>
        <v>Pass</v>
      </c>
      <c r="K10" s="5" t="str">
        <f t="shared" si="4"/>
        <v>B+</v>
      </c>
      <c r="L10" s="15">
        <f t="shared" si="5"/>
        <v>15</v>
      </c>
    </row>
    <row r="11" spans="1:15" x14ac:dyDescent="0.3">
      <c r="A11" s="14" t="s">
        <v>17</v>
      </c>
      <c r="B11" s="5">
        <v>31</v>
      </c>
      <c r="C11" s="5">
        <v>43</v>
      </c>
      <c r="D11" s="5">
        <v>46</v>
      </c>
      <c r="E11" s="5">
        <v>85</v>
      </c>
      <c r="F11" s="5">
        <v>91</v>
      </c>
      <c r="G11" s="5">
        <f t="shared" si="0"/>
        <v>296</v>
      </c>
      <c r="H11" s="6">
        <f t="shared" si="1"/>
        <v>0.59200000000000008</v>
      </c>
      <c r="I11" s="5" t="str">
        <f t="shared" si="2"/>
        <v>Pass</v>
      </c>
      <c r="J11" s="5" t="str">
        <f t="shared" si="3"/>
        <v>Fail</v>
      </c>
      <c r="K11" s="5" t="str">
        <f t="shared" si="4"/>
        <v/>
      </c>
      <c r="L11" s="15">
        <f t="shared" si="5"/>
        <v>22</v>
      </c>
      <c r="N11" s="3" t="s">
        <v>66</v>
      </c>
      <c r="O11" s="3"/>
    </row>
    <row r="12" spans="1:15" x14ac:dyDescent="0.3">
      <c r="A12" s="14" t="s">
        <v>18</v>
      </c>
      <c r="B12" s="5">
        <v>90</v>
      </c>
      <c r="C12" s="5">
        <v>94</v>
      </c>
      <c r="D12" s="5">
        <v>92</v>
      </c>
      <c r="E12" s="5">
        <v>81</v>
      </c>
      <c r="F12" s="5">
        <v>70</v>
      </c>
      <c r="G12" s="5">
        <f t="shared" si="0"/>
        <v>427</v>
      </c>
      <c r="H12" s="6">
        <f t="shared" si="1"/>
        <v>0.85400000000000009</v>
      </c>
      <c r="I12" s="5" t="str">
        <f t="shared" si="2"/>
        <v>Pass</v>
      </c>
      <c r="J12" s="5" t="str">
        <f t="shared" si="3"/>
        <v>Pass</v>
      </c>
      <c r="K12" s="5" t="str">
        <f t="shared" si="4"/>
        <v>A+</v>
      </c>
      <c r="L12" s="15">
        <f t="shared" si="5"/>
        <v>2</v>
      </c>
      <c r="N12" s="3" t="s">
        <v>52</v>
      </c>
      <c r="O12" s="3">
        <f>COUNTIF($K$4:$K$29,N12)</f>
        <v>4</v>
      </c>
    </row>
    <row r="13" spans="1:15" x14ac:dyDescent="0.3">
      <c r="A13" s="14" t="s">
        <v>19</v>
      </c>
      <c r="B13" s="5">
        <v>61</v>
      </c>
      <c r="C13" s="5">
        <v>59</v>
      </c>
      <c r="D13" s="5">
        <v>54</v>
      </c>
      <c r="E13" s="5">
        <v>76</v>
      </c>
      <c r="F13" s="5">
        <v>93</v>
      </c>
      <c r="G13" s="5">
        <f t="shared" si="0"/>
        <v>343</v>
      </c>
      <c r="H13" s="6">
        <f t="shared" si="1"/>
        <v>0.68599999999999994</v>
      </c>
      <c r="I13" s="5" t="str">
        <f t="shared" si="2"/>
        <v>Pass</v>
      </c>
      <c r="J13" s="5" t="str">
        <f t="shared" si="3"/>
        <v>Pass</v>
      </c>
      <c r="K13" s="5" t="str">
        <f t="shared" si="4"/>
        <v>B+</v>
      </c>
      <c r="L13" s="15">
        <f t="shared" si="5"/>
        <v>16</v>
      </c>
      <c r="N13" s="3" t="s">
        <v>10</v>
      </c>
      <c r="O13" s="3">
        <f t="shared" ref="O13:O15" si="6">COUNTIF($K$4:$K$29,N13)</f>
        <v>10</v>
      </c>
    </row>
    <row r="14" spans="1:15" x14ac:dyDescent="0.3">
      <c r="A14" s="14" t="s">
        <v>20</v>
      </c>
      <c r="B14" s="5">
        <v>78</v>
      </c>
      <c r="C14" s="5">
        <v>87</v>
      </c>
      <c r="D14" s="5">
        <v>91</v>
      </c>
      <c r="E14" s="5">
        <v>58</v>
      </c>
      <c r="F14" s="5">
        <v>97</v>
      </c>
      <c r="G14" s="5">
        <f t="shared" si="0"/>
        <v>411</v>
      </c>
      <c r="H14" s="6">
        <f t="shared" si="1"/>
        <v>0.82200000000000006</v>
      </c>
      <c r="I14" s="5" t="str">
        <f t="shared" si="2"/>
        <v>Pass</v>
      </c>
      <c r="J14" s="5" t="str">
        <f t="shared" si="3"/>
        <v>Pass</v>
      </c>
      <c r="K14" s="5" t="str">
        <f t="shared" si="4"/>
        <v>A+</v>
      </c>
      <c r="L14" s="15">
        <f t="shared" si="5"/>
        <v>4</v>
      </c>
      <c r="N14" s="3" t="s">
        <v>55</v>
      </c>
      <c r="O14" s="3">
        <f t="shared" si="6"/>
        <v>4</v>
      </c>
    </row>
    <row r="15" spans="1:15" x14ac:dyDescent="0.3">
      <c r="A15" s="14" t="s">
        <v>21</v>
      </c>
      <c r="B15" s="5">
        <v>90</v>
      </c>
      <c r="C15" s="5">
        <v>88</v>
      </c>
      <c r="D15" s="5">
        <v>57</v>
      </c>
      <c r="E15" s="5">
        <v>94</v>
      </c>
      <c r="F15" s="5">
        <v>59</v>
      </c>
      <c r="G15" s="5">
        <f t="shared" si="0"/>
        <v>388</v>
      </c>
      <c r="H15" s="6">
        <f t="shared" si="1"/>
        <v>0.77599999999999991</v>
      </c>
      <c r="I15" s="5" t="str">
        <f t="shared" si="2"/>
        <v>Pass</v>
      </c>
      <c r="J15" s="5" t="str">
        <f t="shared" si="3"/>
        <v>Pass</v>
      </c>
      <c r="K15" s="5" t="str">
        <f t="shared" si="4"/>
        <v>A</v>
      </c>
      <c r="L15" s="15">
        <f t="shared" si="5"/>
        <v>8</v>
      </c>
      <c r="N15" s="3" t="s">
        <v>11</v>
      </c>
      <c r="O15" s="3">
        <f t="shared" si="6"/>
        <v>0</v>
      </c>
    </row>
    <row r="16" spans="1:15" x14ac:dyDescent="0.3">
      <c r="A16" s="14" t="s">
        <v>22</v>
      </c>
      <c r="B16" s="5">
        <v>65</v>
      </c>
      <c r="C16" s="5">
        <v>52</v>
      </c>
      <c r="D16" s="5">
        <v>75</v>
      </c>
      <c r="E16" s="5">
        <v>73</v>
      </c>
      <c r="F16" s="5">
        <v>63</v>
      </c>
      <c r="G16" s="5">
        <f t="shared" si="0"/>
        <v>328</v>
      </c>
      <c r="H16" s="6">
        <f t="shared" si="1"/>
        <v>0.65599999999999992</v>
      </c>
      <c r="I16" s="5" t="str">
        <f t="shared" si="2"/>
        <v>Pass</v>
      </c>
      <c r="J16" s="5" t="str">
        <f t="shared" si="3"/>
        <v>Pass</v>
      </c>
      <c r="K16" s="5" t="str">
        <f t="shared" si="4"/>
        <v>B+</v>
      </c>
      <c r="L16" s="15">
        <f t="shared" si="5"/>
        <v>18</v>
      </c>
    </row>
    <row r="17" spans="1:15" x14ac:dyDescent="0.3">
      <c r="A17" s="14" t="s">
        <v>23</v>
      </c>
      <c r="B17" s="5">
        <v>55</v>
      </c>
      <c r="C17" s="5">
        <v>47</v>
      </c>
      <c r="D17" s="5">
        <v>47</v>
      </c>
      <c r="E17" s="5">
        <v>84</v>
      </c>
      <c r="F17" s="5">
        <v>33</v>
      </c>
      <c r="G17" s="5">
        <f t="shared" si="0"/>
        <v>266</v>
      </c>
      <c r="H17" s="6">
        <f t="shared" si="1"/>
        <v>0.53200000000000003</v>
      </c>
      <c r="I17" s="5" t="str">
        <f t="shared" si="2"/>
        <v>Pass</v>
      </c>
      <c r="J17" s="5" t="str">
        <f t="shared" si="3"/>
        <v>Fail</v>
      </c>
      <c r="K17" s="5" t="str">
        <f t="shared" si="4"/>
        <v/>
      </c>
      <c r="L17" s="15">
        <f t="shared" si="5"/>
        <v>23</v>
      </c>
      <c r="N17" s="3" t="s">
        <v>58</v>
      </c>
      <c r="O17" s="3">
        <f>COUNTBLANK(K4:K29)</f>
        <v>8</v>
      </c>
    </row>
    <row r="18" spans="1:15" x14ac:dyDescent="0.3">
      <c r="A18" s="14" t="s">
        <v>24</v>
      </c>
      <c r="B18" s="5">
        <v>56</v>
      </c>
      <c r="C18" s="5">
        <v>75</v>
      </c>
      <c r="D18" s="5">
        <v>66</v>
      </c>
      <c r="E18" s="5">
        <v>51</v>
      </c>
      <c r="F18" s="5">
        <v>71</v>
      </c>
      <c r="G18" s="5">
        <f t="shared" si="0"/>
        <v>319</v>
      </c>
      <c r="H18" s="6">
        <f t="shared" si="1"/>
        <v>0.63800000000000001</v>
      </c>
      <c r="I18" s="5" t="str">
        <f t="shared" si="2"/>
        <v>Pass</v>
      </c>
      <c r="J18" s="5" t="str">
        <f t="shared" si="3"/>
        <v>Pass</v>
      </c>
      <c r="K18" s="5" t="str">
        <f t="shared" si="4"/>
        <v>B+</v>
      </c>
      <c r="L18" s="15">
        <f t="shared" si="5"/>
        <v>20</v>
      </c>
    </row>
    <row r="19" spans="1:15" x14ac:dyDescent="0.3">
      <c r="A19" s="14" t="s">
        <v>25</v>
      </c>
      <c r="B19" s="5">
        <v>50</v>
      </c>
      <c r="C19" s="5">
        <v>81</v>
      </c>
      <c r="D19" s="5">
        <v>69</v>
      </c>
      <c r="E19" s="5">
        <v>82</v>
      </c>
      <c r="F19" s="5">
        <v>97</v>
      </c>
      <c r="G19" s="5">
        <f t="shared" si="0"/>
        <v>379</v>
      </c>
      <c r="H19" s="6">
        <f t="shared" si="1"/>
        <v>0.75800000000000001</v>
      </c>
      <c r="I19" s="5" t="str">
        <f t="shared" si="2"/>
        <v>Pass</v>
      </c>
      <c r="J19" s="5" t="str">
        <f t="shared" si="3"/>
        <v>Pass</v>
      </c>
      <c r="K19" s="5" t="str">
        <f t="shared" si="4"/>
        <v>A</v>
      </c>
      <c r="L19" s="15">
        <f t="shared" si="5"/>
        <v>10</v>
      </c>
    </row>
    <row r="20" spans="1:15" x14ac:dyDescent="0.3">
      <c r="A20" s="14" t="s">
        <v>26</v>
      </c>
      <c r="B20" s="5">
        <v>55</v>
      </c>
      <c r="C20" s="5">
        <v>92</v>
      </c>
      <c r="D20" s="5">
        <v>82</v>
      </c>
      <c r="E20" s="5">
        <v>96</v>
      </c>
      <c r="F20" s="5">
        <v>61</v>
      </c>
      <c r="G20" s="5">
        <f t="shared" si="0"/>
        <v>386</v>
      </c>
      <c r="H20" s="6">
        <f t="shared" si="1"/>
        <v>0.77200000000000002</v>
      </c>
      <c r="I20" s="5" t="str">
        <f t="shared" si="2"/>
        <v>Pass</v>
      </c>
      <c r="J20" s="5" t="str">
        <f t="shared" si="3"/>
        <v>Pass</v>
      </c>
      <c r="K20" s="5" t="str">
        <f t="shared" si="4"/>
        <v>A</v>
      </c>
      <c r="L20" s="15">
        <f t="shared" si="5"/>
        <v>9</v>
      </c>
    </row>
    <row r="21" spans="1:15" x14ac:dyDescent="0.3">
      <c r="A21" s="14" t="s">
        <v>27</v>
      </c>
      <c r="B21" s="5">
        <v>48</v>
      </c>
      <c r="C21" s="5">
        <v>31</v>
      </c>
      <c r="D21" s="5">
        <v>75</v>
      </c>
      <c r="E21" s="5">
        <v>30</v>
      </c>
      <c r="F21" s="5">
        <v>61</v>
      </c>
      <c r="G21" s="5">
        <f t="shared" si="0"/>
        <v>245</v>
      </c>
      <c r="H21" s="6">
        <f t="shared" si="1"/>
        <v>0.49</v>
      </c>
      <c r="I21" s="5" t="str">
        <f t="shared" si="2"/>
        <v>Fail</v>
      </c>
      <c r="J21" s="5" t="str">
        <f t="shared" si="3"/>
        <v>Fail</v>
      </c>
      <c r="K21" s="5" t="str">
        <f t="shared" si="4"/>
        <v/>
      </c>
      <c r="L21" s="15">
        <f t="shared" si="5"/>
        <v>25</v>
      </c>
    </row>
    <row r="22" spans="1:15" x14ac:dyDescent="0.3">
      <c r="A22" s="14" t="s">
        <v>28</v>
      </c>
      <c r="B22" s="5">
        <v>79</v>
      </c>
      <c r="C22" s="5">
        <v>78</v>
      </c>
      <c r="D22" s="5">
        <v>74</v>
      </c>
      <c r="E22" s="5">
        <v>53</v>
      </c>
      <c r="F22" s="5">
        <v>75</v>
      </c>
      <c r="G22" s="5">
        <f t="shared" si="0"/>
        <v>359</v>
      </c>
      <c r="H22" s="6">
        <f t="shared" si="1"/>
        <v>0.71799999999999997</v>
      </c>
      <c r="I22" s="5" t="str">
        <f t="shared" si="2"/>
        <v>Pass</v>
      </c>
      <c r="J22" s="5" t="str">
        <f t="shared" si="3"/>
        <v>Pass</v>
      </c>
      <c r="K22" s="5" t="str">
        <f t="shared" si="4"/>
        <v>A</v>
      </c>
      <c r="L22" s="15">
        <f t="shared" si="5"/>
        <v>14</v>
      </c>
    </row>
    <row r="23" spans="1:15" x14ac:dyDescent="0.3">
      <c r="A23" s="14" t="s">
        <v>29</v>
      </c>
      <c r="B23" s="5">
        <v>84</v>
      </c>
      <c r="C23" s="5">
        <v>99</v>
      </c>
      <c r="D23" s="5">
        <v>97</v>
      </c>
      <c r="E23" s="5">
        <v>60</v>
      </c>
      <c r="F23" s="5">
        <v>80</v>
      </c>
      <c r="G23" s="5">
        <f t="shared" si="0"/>
        <v>420</v>
      </c>
      <c r="H23" s="6">
        <f t="shared" si="1"/>
        <v>0.84</v>
      </c>
      <c r="I23" s="5" t="str">
        <f t="shared" si="2"/>
        <v>Pass</v>
      </c>
      <c r="J23" s="5" t="str">
        <f t="shared" si="3"/>
        <v>Pass</v>
      </c>
      <c r="K23" s="5" t="str">
        <f t="shared" si="4"/>
        <v>A+</v>
      </c>
      <c r="L23" s="15">
        <f t="shared" si="5"/>
        <v>3</v>
      </c>
    </row>
    <row r="24" spans="1:15" x14ac:dyDescent="0.3">
      <c r="A24" s="14" t="s">
        <v>30</v>
      </c>
      <c r="B24" s="5">
        <v>78</v>
      </c>
      <c r="C24" s="5">
        <v>96</v>
      </c>
      <c r="D24" s="5">
        <v>56</v>
      </c>
      <c r="E24" s="5">
        <v>97</v>
      </c>
      <c r="F24" s="5">
        <v>62</v>
      </c>
      <c r="G24" s="5">
        <f t="shared" si="0"/>
        <v>389</v>
      </c>
      <c r="H24" s="6">
        <f t="shared" si="1"/>
        <v>0.77800000000000002</v>
      </c>
      <c r="I24" s="5" t="str">
        <f t="shared" si="2"/>
        <v>Pass</v>
      </c>
      <c r="J24" s="5" t="str">
        <f t="shared" si="3"/>
        <v>Pass</v>
      </c>
      <c r="K24" s="5" t="str">
        <f t="shared" si="4"/>
        <v>A</v>
      </c>
      <c r="L24" s="15">
        <f t="shared" si="5"/>
        <v>7</v>
      </c>
    </row>
    <row r="25" spans="1:15" x14ac:dyDescent="0.3">
      <c r="A25" s="14" t="s">
        <v>31</v>
      </c>
      <c r="B25" s="5">
        <v>47</v>
      </c>
      <c r="C25" s="5">
        <v>76</v>
      </c>
      <c r="D25" s="5">
        <v>77</v>
      </c>
      <c r="E25" s="5">
        <v>40</v>
      </c>
      <c r="F25" s="5">
        <v>80</v>
      </c>
      <c r="G25" s="5">
        <f t="shared" si="0"/>
        <v>320</v>
      </c>
      <c r="H25" s="6">
        <f t="shared" si="1"/>
        <v>0.64</v>
      </c>
      <c r="I25" s="5" t="str">
        <f t="shared" si="2"/>
        <v>Pass</v>
      </c>
      <c r="J25" s="5" t="str">
        <f t="shared" si="3"/>
        <v>Fail</v>
      </c>
      <c r="K25" s="5" t="str">
        <f t="shared" si="4"/>
        <v/>
      </c>
      <c r="L25" s="15">
        <f t="shared" si="5"/>
        <v>19</v>
      </c>
    </row>
    <row r="26" spans="1:15" x14ac:dyDescent="0.3">
      <c r="A26" s="14" t="s">
        <v>32</v>
      </c>
      <c r="B26" s="5">
        <v>67</v>
      </c>
      <c r="C26" s="5">
        <v>92</v>
      </c>
      <c r="D26" s="5">
        <v>54</v>
      </c>
      <c r="E26" s="5">
        <v>85</v>
      </c>
      <c r="F26" s="5">
        <v>65</v>
      </c>
      <c r="G26" s="5">
        <f t="shared" si="0"/>
        <v>363</v>
      </c>
      <c r="H26" s="6">
        <f t="shared" si="1"/>
        <v>0.72599999999999998</v>
      </c>
      <c r="I26" s="5" t="str">
        <f t="shared" si="2"/>
        <v>Pass</v>
      </c>
      <c r="J26" s="5" t="str">
        <f t="shared" si="3"/>
        <v>Pass</v>
      </c>
      <c r="K26" s="5" t="str">
        <f t="shared" si="4"/>
        <v>A</v>
      </c>
      <c r="L26" s="15">
        <f t="shared" si="5"/>
        <v>13</v>
      </c>
    </row>
    <row r="27" spans="1:15" x14ac:dyDescent="0.3">
      <c r="A27" s="14" t="s">
        <v>33</v>
      </c>
      <c r="B27" s="5">
        <v>95</v>
      </c>
      <c r="C27" s="5">
        <v>48</v>
      </c>
      <c r="D27" s="5">
        <v>81</v>
      </c>
      <c r="E27" s="5">
        <v>44</v>
      </c>
      <c r="F27" s="5">
        <v>66</v>
      </c>
      <c r="G27" s="5">
        <f t="shared" si="0"/>
        <v>334</v>
      </c>
      <c r="H27" s="6">
        <f t="shared" si="1"/>
        <v>0.66799999999999993</v>
      </c>
      <c r="I27" s="5" t="str">
        <f t="shared" si="2"/>
        <v>Pass</v>
      </c>
      <c r="J27" s="5" t="str">
        <f t="shared" si="3"/>
        <v>Fail</v>
      </c>
      <c r="K27" s="5" t="str">
        <f t="shared" si="4"/>
        <v/>
      </c>
      <c r="L27" s="15">
        <f t="shared" si="5"/>
        <v>17</v>
      </c>
    </row>
    <row r="28" spans="1:15" x14ac:dyDescent="0.3">
      <c r="A28" s="14" t="s">
        <v>34</v>
      </c>
      <c r="B28" s="5">
        <v>45</v>
      </c>
      <c r="C28" s="5">
        <v>36</v>
      </c>
      <c r="D28" s="5">
        <v>67</v>
      </c>
      <c r="E28" s="5">
        <v>31</v>
      </c>
      <c r="F28" s="5">
        <v>78</v>
      </c>
      <c r="G28" s="5">
        <f t="shared" si="0"/>
        <v>257</v>
      </c>
      <c r="H28" s="6">
        <f t="shared" si="1"/>
        <v>0.51400000000000001</v>
      </c>
      <c r="I28" s="5" t="str">
        <f t="shared" si="2"/>
        <v>Pass</v>
      </c>
      <c r="J28" s="5" t="str">
        <f t="shared" si="3"/>
        <v>Fail</v>
      </c>
      <c r="K28" s="5" t="str">
        <f t="shared" si="4"/>
        <v/>
      </c>
      <c r="L28" s="15">
        <f t="shared" si="5"/>
        <v>24</v>
      </c>
    </row>
    <row r="29" spans="1:15" ht="16.2" thickBot="1" x14ac:dyDescent="0.35">
      <c r="A29" s="16" t="s">
        <v>35</v>
      </c>
      <c r="B29" s="17">
        <v>93</v>
      </c>
      <c r="C29" s="17">
        <v>71</v>
      </c>
      <c r="D29" s="17">
        <v>77</v>
      </c>
      <c r="E29" s="17">
        <v>87</v>
      </c>
      <c r="F29" s="17">
        <v>71</v>
      </c>
      <c r="G29" s="17">
        <f t="shared" si="0"/>
        <v>399</v>
      </c>
      <c r="H29" s="18">
        <f t="shared" si="1"/>
        <v>0.79799999999999993</v>
      </c>
      <c r="I29" s="17" t="str">
        <f t="shared" si="2"/>
        <v>Pass</v>
      </c>
      <c r="J29" s="17" t="str">
        <f t="shared" si="3"/>
        <v>Pass</v>
      </c>
      <c r="K29" s="17" t="str">
        <f t="shared" si="4"/>
        <v>A</v>
      </c>
      <c r="L29" s="19">
        <f t="shared" si="5"/>
        <v>5</v>
      </c>
    </row>
    <row r="31" spans="1:15" x14ac:dyDescent="0.3">
      <c r="A31" t="s">
        <v>42</v>
      </c>
    </row>
    <row r="33" spans="1:2" x14ac:dyDescent="0.3">
      <c r="A33" t="s">
        <v>50</v>
      </c>
    </row>
    <row r="34" spans="1:2" x14ac:dyDescent="0.3">
      <c r="A34" t="s">
        <v>51</v>
      </c>
      <c r="B34" s="1" t="s">
        <v>52</v>
      </c>
    </row>
    <row r="35" spans="1:2" x14ac:dyDescent="0.3">
      <c r="A35" t="s">
        <v>53</v>
      </c>
      <c r="B35" s="1" t="s">
        <v>10</v>
      </c>
    </row>
    <row r="36" spans="1:2" x14ac:dyDescent="0.3">
      <c r="A36" t="s">
        <v>54</v>
      </c>
      <c r="B36" s="1" t="s">
        <v>55</v>
      </c>
    </row>
    <row r="37" spans="1:2" x14ac:dyDescent="0.3">
      <c r="A37" t="s">
        <v>56</v>
      </c>
      <c r="B37" s="1" t="s">
        <v>11</v>
      </c>
    </row>
    <row r="38" spans="1:2" x14ac:dyDescent="0.3">
      <c r="A38" t="s">
        <v>57</v>
      </c>
      <c r="B38" s="1" t="s">
        <v>58</v>
      </c>
    </row>
  </sheetData>
  <mergeCells count="1">
    <mergeCell ref="D1:E1"/>
  </mergeCells>
  <phoneticPr fontId="3" type="noConversion"/>
  <conditionalFormatting sqref="A4:L29">
    <cfRule type="expression" dxfId="7" priority="1">
      <formula>$F$1=$A4</formula>
    </cfRule>
  </conditionalFormatting>
  <dataValidations count="1">
    <dataValidation type="list" allowBlank="1" showInputMessage="1" showErrorMessage="1" sqref="F1" xr:uid="{CBDD4260-67D0-498F-AAA8-8BCE3CB17F99}">
      <formula1>$A$4:$A$29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124D8-B696-4ADF-B5AA-AF0A29A89FBB}">
  <sheetPr codeName="Sheet2"/>
  <dimension ref="A1:E13"/>
  <sheetViews>
    <sheetView zoomScale="160" zoomScaleNormal="160" workbookViewId="0">
      <selection activeCell="A11" sqref="A11:B11"/>
    </sheetView>
  </sheetViews>
  <sheetFormatPr defaultRowHeight="15.6" x14ac:dyDescent="0.3"/>
  <sheetData>
    <row r="1" spans="1:5" x14ac:dyDescent="0.3">
      <c r="A1" s="2" t="s">
        <v>36</v>
      </c>
    </row>
    <row r="3" spans="1:5" x14ac:dyDescent="0.3">
      <c r="A3" t="s">
        <v>37</v>
      </c>
      <c r="B3" t="s">
        <v>38</v>
      </c>
    </row>
    <row r="4" spans="1:5" x14ac:dyDescent="0.3">
      <c r="A4" t="s">
        <v>39</v>
      </c>
      <c r="B4" t="s">
        <v>40</v>
      </c>
    </row>
    <row r="6" spans="1:5" x14ac:dyDescent="0.3">
      <c r="A6" s="2" t="s">
        <v>41</v>
      </c>
    </row>
    <row r="8" spans="1:5" x14ac:dyDescent="0.3">
      <c r="A8" t="s">
        <v>43</v>
      </c>
      <c r="B8" s="2" t="s">
        <v>45</v>
      </c>
      <c r="E8" t="s">
        <v>47</v>
      </c>
    </row>
    <row r="9" spans="1:5" x14ac:dyDescent="0.3">
      <c r="A9" t="s">
        <v>44</v>
      </c>
      <c r="B9" s="2" t="s">
        <v>46</v>
      </c>
      <c r="E9" t="s">
        <v>48</v>
      </c>
    </row>
    <row r="11" spans="1:5" x14ac:dyDescent="0.3">
      <c r="A11" t="s">
        <v>60</v>
      </c>
      <c r="B11" t="s">
        <v>61</v>
      </c>
    </row>
    <row r="13" spans="1:5" x14ac:dyDescent="0.3">
      <c r="A13" t="s">
        <v>68</v>
      </c>
      <c r="B13" t="s">
        <v>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497F1-5E07-4458-BBA5-C477529C8C5A}">
  <sheetPr codeName="Sheet3"/>
  <dimension ref="A1:H42"/>
  <sheetViews>
    <sheetView topLeftCell="A4" zoomScale="170" zoomScaleNormal="170" workbookViewId="0">
      <selection activeCell="B14" sqref="B14"/>
    </sheetView>
  </sheetViews>
  <sheetFormatPr defaultRowHeight="15.6" x14ac:dyDescent="0.3"/>
  <cols>
    <col min="1" max="1" width="17.09765625" bestFit="1" customWidth="1"/>
    <col min="2" max="2" width="15.19921875" bestFit="1" customWidth="1"/>
    <col min="3" max="3" width="10.09765625" bestFit="1" customWidth="1"/>
    <col min="5" max="5" width="2.19921875" customWidth="1"/>
    <col min="6" max="6" width="11.69921875" customWidth="1"/>
  </cols>
  <sheetData>
    <row r="1" spans="1:6" x14ac:dyDescent="0.3">
      <c r="A1" s="45" t="s">
        <v>71</v>
      </c>
      <c r="B1" s="45"/>
      <c r="C1" s="45"/>
      <c r="D1" s="45"/>
      <c r="E1" s="45"/>
    </row>
    <row r="2" spans="1:6" x14ac:dyDescent="0.3">
      <c r="A2" s="21"/>
      <c r="B2" t="s">
        <v>72</v>
      </c>
      <c r="C2" t="s">
        <v>73</v>
      </c>
    </row>
    <row r="3" spans="1:6" x14ac:dyDescent="0.3">
      <c r="A3" s="21" t="s">
        <v>74</v>
      </c>
      <c r="B3" s="21">
        <f ca="1">TODAY()</f>
        <v>44231</v>
      </c>
      <c r="C3" s="21">
        <v>44229</v>
      </c>
      <c r="D3" t="s">
        <v>76</v>
      </c>
      <c r="F3" s="2" t="s">
        <v>75</v>
      </c>
    </row>
    <row r="4" spans="1:6" x14ac:dyDescent="0.3">
      <c r="A4" s="21" t="s">
        <v>71</v>
      </c>
      <c r="B4" s="23">
        <f ca="1">NOW()</f>
        <v>44231.515796527776</v>
      </c>
      <c r="C4" s="22">
        <v>0.50624999999999998</v>
      </c>
      <c r="D4" t="s">
        <v>78</v>
      </c>
      <c r="F4" s="2" t="s">
        <v>77</v>
      </c>
    </row>
    <row r="5" spans="1:6" x14ac:dyDescent="0.3">
      <c r="A5" s="21"/>
    </row>
    <row r="6" spans="1:6" x14ac:dyDescent="0.3">
      <c r="A6" s="21" t="s">
        <v>79</v>
      </c>
      <c r="B6">
        <f ca="1">HOUR(B4)</f>
        <v>12</v>
      </c>
      <c r="F6" s="2" t="s">
        <v>84</v>
      </c>
    </row>
    <row r="7" spans="1:6" x14ac:dyDescent="0.3">
      <c r="A7" s="21" t="s">
        <v>80</v>
      </c>
      <c r="B7">
        <f ca="1">MINUTE(B4)</f>
        <v>22</v>
      </c>
      <c r="F7" s="2" t="s">
        <v>83</v>
      </c>
    </row>
    <row r="8" spans="1:6" x14ac:dyDescent="0.3">
      <c r="A8" s="21" t="s">
        <v>81</v>
      </c>
      <c r="B8">
        <f ca="1">SECOND(NOW())</f>
        <v>45</v>
      </c>
      <c r="F8" s="2" t="s">
        <v>85</v>
      </c>
    </row>
    <row r="9" spans="1:6" x14ac:dyDescent="0.3">
      <c r="A9" s="21" t="s">
        <v>82</v>
      </c>
      <c r="B9" s="24">
        <f ca="1">TIME(B6,B7,B8)</f>
        <v>0.51579861111111114</v>
      </c>
      <c r="F9" s="25" t="s">
        <v>86</v>
      </c>
    </row>
    <row r="10" spans="1:6" x14ac:dyDescent="0.3">
      <c r="A10" s="21"/>
    </row>
    <row r="11" spans="1:6" x14ac:dyDescent="0.3">
      <c r="A11" s="21" t="s">
        <v>87</v>
      </c>
      <c r="B11">
        <f ca="1">DAY(TODAY())</f>
        <v>4</v>
      </c>
      <c r="F11" s="2" t="s">
        <v>90</v>
      </c>
    </row>
    <row r="12" spans="1:6" x14ac:dyDescent="0.3">
      <c r="A12" s="21" t="s">
        <v>88</v>
      </c>
      <c r="B12">
        <f ca="1">MONTH(NOW())</f>
        <v>2</v>
      </c>
      <c r="C12" t="str">
        <f ca="1">IFERROR(CHOOSE(B12,"Jan","Feb","Mar","Apr","May","Jun","Jul","Aug","Sep","Oct","Nov","Dec"),"Only 1 to 12 is allowed")</f>
        <v>Feb</v>
      </c>
      <c r="F12" s="2" t="s">
        <v>91</v>
      </c>
    </row>
    <row r="13" spans="1:6" x14ac:dyDescent="0.3">
      <c r="A13" s="21" t="s">
        <v>89</v>
      </c>
      <c r="B13">
        <f ca="1">YEAR(B3)</f>
        <v>2021</v>
      </c>
      <c r="F13" s="2" t="s">
        <v>92</v>
      </c>
    </row>
    <row r="14" spans="1:6" x14ac:dyDescent="0.3">
      <c r="A14" s="21" t="s">
        <v>74</v>
      </c>
      <c r="B14" s="26">
        <f ca="1">DATE(B13,B12,B11)</f>
        <v>44231</v>
      </c>
      <c r="F14" s="2" t="s">
        <v>93</v>
      </c>
    </row>
    <row r="16" spans="1:6" x14ac:dyDescent="0.3">
      <c r="A16" s="21" t="s">
        <v>94</v>
      </c>
      <c r="B16">
        <f ca="1">WEEKDAY(B14,2)</f>
        <v>4</v>
      </c>
      <c r="F16" s="2" t="s">
        <v>97</v>
      </c>
    </row>
    <row r="17" spans="1:7" x14ac:dyDescent="0.3">
      <c r="A17" s="21" t="s">
        <v>95</v>
      </c>
      <c r="B17">
        <f ca="1">WEEKNUM(B14,2)</f>
        <v>6</v>
      </c>
      <c r="F17" s="2" t="s">
        <v>98</v>
      </c>
    </row>
    <row r="18" spans="1:7" x14ac:dyDescent="0.3">
      <c r="A18" s="21" t="s">
        <v>96</v>
      </c>
      <c r="B18" s="26">
        <f ca="1">EOMONTH(B14,0)</f>
        <v>44255</v>
      </c>
      <c r="F18" s="2" t="s">
        <v>99</v>
      </c>
    </row>
    <row r="20" spans="1:7" x14ac:dyDescent="0.3">
      <c r="A20" s="21" t="s">
        <v>100</v>
      </c>
      <c r="F20" s="2" t="s">
        <v>101</v>
      </c>
    </row>
    <row r="21" spans="1:7" x14ac:dyDescent="0.3">
      <c r="A21" s="21" t="s">
        <v>114</v>
      </c>
      <c r="B21" s="21">
        <v>33431</v>
      </c>
    </row>
    <row r="22" spans="1:7" x14ac:dyDescent="0.3">
      <c r="A22" s="21" t="s">
        <v>115</v>
      </c>
      <c r="B22" s="21">
        <f ca="1">TODAY()</f>
        <v>44231</v>
      </c>
      <c r="F22" t="s">
        <v>102</v>
      </c>
    </row>
    <row r="23" spans="1:7" x14ac:dyDescent="0.3">
      <c r="F23" t="s">
        <v>89</v>
      </c>
      <c r="G23" t="s">
        <v>108</v>
      </c>
    </row>
    <row r="24" spans="1:7" x14ac:dyDescent="0.3">
      <c r="A24" t="s">
        <v>89</v>
      </c>
      <c r="B24">
        <f ca="1">DATEDIF(B21,B22,"y")</f>
        <v>29</v>
      </c>
      <c r="F24" t="s">
        <v>103</v>
      </c>
      <c r="G24" t="s">
        <v>109</v>
      </c>
    </row>
    <row r="25" spans="1:7" x14ac:dyDescent="0.3">
      <c r="A25" t="s">
        <v>103</v>
      </c>
      <c r="B25">
        <f ca="1">DATEDIF(B21,B22,"m")</f>
        <v>354</v>
      </c>
      <c r="F25" t="s">
        <v>104</v>
      </c>
      <c r="G25" t="s">
        <v>110</v>
      </c>
    </row>
    <row r="26" spans="1:7" x14ac:dyDescent="0.3">
      <c r="A26" t="s">
        <v>104</v>
      </c>
      <c r="B26">
        <f ca="1">DATEDIF(B21,B22,"d")</f>
        <v>10800</v>
      </c>
      <c r="F26" t="s">
        <v>105</v>
      </c>
      <c r="G26" t="s">
        <v>111</v>
      </c>
    </row>
    <row r="27" spans="1:7" x14ac:dyDescent="0.3">
      <c r="A27" t="s">
        <v>105</v>
      </c>
      <c r="B27">
        <f ca="1">DATEDIF(B21,B22,"ym")</f>
        <v>6</v>
      </c>
      <c r="F27" t="s">
        <v>106</v>
      </c>
      <c r="G27" t="s">
        <v>112</v>
      </c>
    </row>
    <row r="28" spans="1:7" x14ac:dyDescent="0.3">
      <c r="A28" t="s">
        <v>106</v>
      </c>
      <c r="B28">
        <f ca="1">DATEDIF(B21,B22,"md")</f>
        <v>23</v>
      </c>
      <c r="F28" t="s">
        <v>107</v>
      </c>
      <c r="G28" t="s">
        <v>113</v>
      </c>
    </row>
    <row r="29" spans="1:7" x14ac:dyDescent="0.3">
      <c r="A29" t="s">
        <v>107</v>
      </c>
      <c r="B29">
        <f ca="1">DATEDIF(B21,B22,"yd")</f>
        <v>207</v>
      </c>
    </row>
    <row r="30" spans="1:7" x14ac:dyDescent="0.3">
      <c r="F30" t="s">
        <v>118</v>
      </c>
    </row>
    <row r="31" spans="1:7" x14ac:dyDescent="0.3">
      <c r="A31" t="s">
        <v>116</v>
      </c>
      <c r="B31" s="21">
        <v>44044</v>
      </c>
    </row>
    <row r="32" spans="1:7" x14ac:dyDescent="0.3">
      <c r="A32" t="s">
        <v>117</v>
      </c>
      <c r="B32">
        <v>180</v>
      </c>
      <c r="F32" t="s">
        <v>119</v>
      </c>
    </row>
    <row r="33" spans="1:8" x14ac:dyDescent="0.3">
      <c r="F33" s="21">
        <v>44058</v>
      </c>
      <c r="H33" s="2" t="s">
        <v>123</v>
      </c>
    </row>
    <row r="34" spans="1:8" x14ac:dyDescent="0.3">
      <c r="A34" t="s">
        <v>120</v>
      </c>
      <c r="F34" s="21">
        <v>44093</v>
      </c>
      <c r="H34" t="s">
        <v>121</v>
      </c>
    </row>
    <row r="35" spans="1:8" x14ac:dyDescent="0.3">
      <c r="B35" s="21">
        <f>WORKDAY(B31,B32,F33:F40)</f>
        <v>44301</v>
      </c>
      <c r="F35" s="21">
        <v>44119</v>
      </c>
    </row>
    <row r="36" spans="1:8" x14ac:dyDescent="0.3">
      <c r="B36" t="s">
        <v>121</v>
      </c>
      <c r="F36" s="21">
        <v>44149</v>
      </c>
      <c r="H36" s="2" t="s">
        <v>122</v>
      </c>
    </row>
    <row r="37" spans="1:8" x14ac:dyDescent="0.3">
      <c r="B37" s="21">
        <f>WORKDAY.INTL(B31,B32,11,F33:F40)</f>
        <v>44263</v>
      </c>
      <c r="F37" s="21">
        <v>44150</v>
      </c>
    </row>
    <row r="38" spans="1:8" x14ac:dyDescent="0.3">
      <c r="F38" s="21">
        <v>44190</v>
      </c>
      <c r="H38" s="2" t="s">
        <v>126</v>
      </c>
    </row>
    <row r="39" spans="1:8" x14ac:dyDescent="0.3">
      <c r="A39" t="s">
        <v>124</v>
      </c>
      <c r="B39" s="21">
        <v>44317</v>
      </c>
      <c r="F39" s="21">
        <v>44197</v>
      </c>
      <c r="H39" t="s">
        <v>121</v>
      </c>
    </row>
    <row r="40" spans="1:8" x14ac:dyDescent="0.3">
      <c r="A40" t="s">
        <v>125</v>
      </c>
      <c r="B40">
        <f>NETWORKDAYS(B31,B39,F33:F40)</f>
        <v>191</v>
      </c>
      <c r="F40" s="21">
        <v>44222</v>
      </c>
    </row>
    <row r="41" spans="1:8" x14ac:dyDescent="0.3">
      <c r="B41" t="s">
        <v>121</v>
      </c>
      <c r="H41" s="2" t="s">
        <v>127</v>
      </c>
    </row>
    <row r="42" spans="1:8" x14ac:dyDescent="0.3">
      <c r="B42">
        <f>NETWORKDAYS.INTL(B31,B39,11,F33:F40)</f>
        <v>228</v>
      </c>
    </row>
  </sheetData>
  <mergeCells count="1">
    <mergeCell ref="A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AFD1-C99A-43FA-9C7B-6370752714DA}">
  <sheetPr codeName="Sheet4"/>
  <dimension ref="A1:K10"/>
  <sheetViews>
    <sheetView showGridLines="0" zoomScale="170" zoomScaleNormal="170" workbookViewId="0">
      <selection activeCell="E9" sqref="E9"/>
    </sheetView>
  </sheetViews>
  <sheetFormatPr defaultRowHeight="15.6" x14ac:dyDescent="0.3"/>
  <cols>
    <col min="1" max="1" width="3.09765625" customWidth="1"/>
    <col min="3" max="3" width="10.09765625" bestFit="1" customWidth="1"/>
    <col min="4" max="4" width="4.3984375" customWidth="1"/>
    <col min="5" max="11" width="10.69921875" customWidth="1"/>
  </cols>
  <sheetData>
    <row r="1" spans="1:11" ht="16.2" thickBot="1" x14ac:dyDescent="0.35"/>
    <row r="2" spans="1:11" ht="16.2" thickBot="1" x14ac:dyDescent="0.35">
      <c r="E2" s="46" t="str">
        <f>"Calendar of "&amp;C3&amp;" "&amp;C4</f>
        <v>Calendar of February 2021</v>
      </c>
      <c r="F2" s="47"/>
      <c r="G2" s="47"/>
      <c r="H2" s="47"/>
      <c r="I2" s="47"/>
      <c r="J2" s="47"/>
      <c r="K2" s="48"/>
    </row>
    <row r="3" spans="1:11" ht="16.2" thickBot="1" x14ac:dyDescent="0.35">
      <c r="A3">
        <v>2</v>
      </c>
      <c r="B3" s="31" t="s">
        <v>88</v>
      </c>
      <c r="C3" s="32" t="str">
        <f>CHOOSE(A3,"January","February","March","April","May","June","July","August","September","October","November","December")</f>
        <v>February</v>
      </c>
      <c r="E3" s="28" t="s">
        <v>128</v>
      </c>
      <c r="F3" s="29" t="s">
        <v>129</v>
      </c>
      <c r="G3" s="29" t="s">
        <v>130</v>
      </c>
      <c r="H3" s="29" t="s">
        <v>131</v>
      </c>
      <c r="I3" s="29" t="s">
        <v>132</v>
      </c>
      <c r="J3" s="29" t="s">
        <v>133</v>
      </c>
      <c r="K3" s="30" t="s">
        <v>134</v>
      </c>
    </row>
    <row r="4" spans="1:11" ht="16.2" thickBot="1" x14ac:dyDescent="0.35">
      <c r="B4" s="33" t="s">
        <v>89</v>
      </c>
      <c r="C4" s="34">
        <v>2021</v>
      </c>
      <c r="E4" s="35" t="str">
        <f>IF(WEEKDAY(DATE($C$4,$A$3,1))=1,1,"")</f>
        <v/>
      </c>
      <c r="F4" s="11">
        <f>IFERROR(IF(WEEKDAY(DATE($C$4,$A$3,1))=2,1,E4+1),"")</f>
        <v>1</v>
      </c>
      <c r="G4" s="11">
        <f>IFERROR(IF(WEEKDAY(DATE($C$4,$A$3,1))=3,1,F4+1),"")</f>
        <v>2</v>
      </c>
      <c r="H4" s="11">
        <f>IFERROR(IF(WEEKDAY(DATE($C$4,$A$3,1))=4,1,G4+1),"")</f>
        <v>3</v>
      </c>
      <c r="I4" s="11">
        <f>IFERROR(IF(WEEKDAY(DATE($C$4,$A$3,1))=5,1,H4+1),"")</f>
        <v>4</v>
      </c>
      <c r="J4" s="11">
        <f>IFERROR(IF(WEEKDAY(DATE($C$4,$A$3,1))=6,1,I4+1),"")</f>
        <v>5</v>
      </c>
      <c r="K4" s="13">
        <f>IFERROR(IF(WEEKDAY(DATE($C$4,$A$3,1))=7,1,J4+1),"")</f>
        <v>6</v>
      </c>
    </row>
    <row r="5" spans="1:11" x14ac:dyDescent="0.3">
      <c r="E5" s="36">
        <f>K4+1</f>
        <v>7</v>
      </c>
      <c r="F5" s="5">
        <f>E5+1</f>
        <v>8</v>
      </c>
      <c r="G5" s="5">
        <f t="shared" ref="G5:K5" si="0">F5+1</f>
        <v>9</v>
      </c>
      <c r="H5" s="5">
        <f t="shared" si="0"/>
        <v>10</v>
      </c>
      <c r="I5" s="5">
        <f t="shared" si="0"/>
        <v>11</v>
      </c>
      <c r="J5" s="5">
        <f t="shared" si="0"/>
        <v>12</v>
      </c>
      <c r="K5" s="15">
        <f t="shared" si="0"/>
        <v>13</v>
      </c>
    </row>
    <row r="6" spans="1:11" x14ac:dyDescent="0.3">
      <c r="E6" s="36">
        <f t="shared" ref="E6:E7" si="1">K5+1</f>
        <v>14</v>
      </c>
      <c r="F6" s="5">
        <f t="shared" ref="F6:K6" si="2">E6+1</f>
        <v>15</v>
      </c>
      <c r="G6" s="5">
        <f t="shared" si="2"/>
        <v>16</v>
      </c>
      <c r="H6" s="5">
        <f t="shared" si="2"/>
        <v>17</v>
      </c>
      <c r="I6" s="5">
        <f t="shared" si="2"/>
        <v>18</v>
      </c>
      <c r="J6" s="5">
        <f t="shared" si="2"/>
        <v>19</v>
      </c>
      <c r="K6" s="15">
        <f t="shared" si="2"/>
        <v>20</v>
      </c>
    </row>
    <row r="7" spans="1:11" x14ac:dyDescent="0.3">
      <c r="E7" s="36">
        <f t="shared" si="1"/>
        <v>21</v>
      </c>
      <c r="F7" s="5">
        <f t="shared" ref="F7:K7" si="3">E7+1</f>
        <v>22</v>
      </c>
      <c r="G7" s="5">
        <f t="shared" si="3"/>
        <v>23</v>
      </c>
      <c r="H7" s="5">
        <f t="shared" si="3"/>
        <v>24</v>
      </c>
      <c r="I7" s="5">
        <f t="shared" si="3"/>
        <v>25</v>
      </c>
      <c r="J7" s="5">
        <f t="shared" si="3"/>
        <v>26</v>
      </c>
      <c r="K7" s="15">
        <f t="shared" si="3"/>
        <v>27</v>
      </c>
    </row>
    <row r="8" spans="1:11" x14ac:dyDescent="0.3">
      <c r="E8" s="36">
        <f>IFERROR(IF(DAY(EOMONTH(DATE($C$4,$A$3,1),0))=K7,"",K7+1),"")</f>
        <v>28</v>
      </c>
      <c r="F8" s="5" t="str">
        <f>IFERROR(IF(DAY(EOMONTH(DATE($C$4,$A$3,1),0))=E8,"",E8+1),"")</f>
        <v/>
      </c>
      <c r="G8" s="5" t="str">
        <f t="shared" ref="G8:K9" si="4">IFERROR(IF(DAY(EOMONTH(DATE($C$4,$A$3,1),0))=F8,"",F8+1),"")</f>
        <v/>
      </c>
      <c r="H8" s="5" t="str">
        <f t="shared" si="4"/>
        <v/>
      </c>
      <c r="I8" s="5" t="str">
        <f t="shared" si="4"/>
        <v/>
      </c>
      <c r="J8" s="5" t="str">
        <f t="shared" si="4"/>
        <v/>
      </c>
      <c r="K8" s="15" t="str">
        <f t="shared" si="4"/>
        <v/>
      </c>
    </row>
    <row r="9" spans="1:11" ht="16.2" thickBot="1" x14ac:dyDescent="0.35">
      <c r="E9" s="37" t="str">
        <f>IFERROR(IF(DAY(EOMONTH(DATE($C$4,$A$3,1),0))=K8,"",K8+1),"")</f>
        <v/>
      </c>
      <c r="F9" s="17" t="str">
        <f>IFERROR(IF(DAY(EOMONTH(DATE($C$4,$A$3,1),0))=E9,"",E9+1),"")</f>
        <v/>
      </c>
      <c r="G9" s="17" t="str">
        <f t="shared" si="4"/>
        <v/>
      </c>
      <c r="H9" s="17" t="str">
        <f t="shared" si="4"/>
        <v/>
      </c>
      <c r="I9" s="17" t="str">
        <f t="shared" si="4"/>
        <v/>
      </c>
      <c r="J9" s="17" t="str">
        <f t="shared" si="4"/>
        <v/>
      </c>
      <c r="K9" s="19" t="str">
        <f t="shared" si="4"/>
        <v/>
      </c>
    </row>
    <row r="10" spans="1:11" x14ac:dyDescent="0.3">
      <c r="C10" s="27"/>
    </row>
  </sheetData>
  <mergeCells count="1">
    <mergeCell ref="E2:K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0</xdr:col>
                    <xdr:colOff>15240</xdr:colOff>
                    <xdr:row>2</xdr:row>
                    <xdr:rowOff>0</xdr:rowOff>
                  </from>
                  <to>
                    <xdr:col>0</xdr:col>
                    <xdr:colOff>220980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Spinner 2">
              <controlPr defaultSize="0" autoPict="0">
                <anchor moveWithCells="1" sizeWithCells="1">
                  <from>
                    <xdr:col>0</xdr:col>
                    <xdr:colOff>15240</xdr:colOff>
                    <xdr:row>3</xdr:row>
                    <xdr:rowOff>7620</xdr:rowOff>
                  </from>
                  <to>
                    <xdr:col>0</xdr:col>
                    <xdr:colOff>220980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2D5B-2F6B-410A-962B-A7CDFFBCAC3E}">
  <sheetPr codeName="Sheet5"/>
  <dimension ref="A1:G19"/>
  <sheetViews>
    <sheetView topLeftCell="A9" zoomScale="180" zoomScaleNormal="180" workbookViewId="0">
      <selection activeCell="C19" sqref="C19"/>
    </sheetView>
  </sheetViews>
  <sheetFormatPr defaultRowHeight="15.6" x14ac:dyDescent="0.3"/>
  <cols>
    <col min="1" max="1" width="18.296875" bestFit="1" customWidth="1"/>
    <col min="2" max="2" width="11.69921875" customWidth="1"/>
    <col min="3" max="3" width="24" bestFit="1" customWidth="1"/>
    <col min="4" max="4" width="11.3984375" bestFit="1" customWidth="1"/>
    <col min="5" max="5" width="20" bestFit="1" customWidth="1"/>
    <col min="6" max="6" width="17.69921875" bestFit="1" customWidth="1"/>
    <col min="7" max="7" width="17.296875" bestFit="1" customWidth="1"/>
  </cols>
  <sheetData>
    <row r="1" spans="1:7" x14ac:dyDescent="0.3">
      <c r="A1" t="s">
        <v>0</v>
      </c>
      <c r="B1" t="s">
        <v>137</v>
      </c>
      <c r="C1" t="s">
        <v>139</v>
      </c>
      <c r="D1" t="s">
        <v>137</v>
      </c>
      <c r="E1" t="s">
        <v>140</v>
      </c>
      <c r="F1" t="s">
        <v>141</v>
      </c>
      <c r="G1" t="s">
        <v>142</v>
      </c>
    </row>
    <row r="2" spans="1:7" x14ac:dyDescent="0.3">
      <c r="A2" t="s">
        <v>135</v>
      </c>
      <c r="B2">
        <f>LEN(A2)</f>
        <v>17</v>
      </c>
      <c r="C2" t="str">
        <f>TRIM(A2)</f>
        <v>Vijay ahluwalia</v>
      </c>
      <c r="D2">
        <f>LEN(C2)</f>
        <v>15</v>
      </c>
      <c r="E2" t="str">
        <f>UPPER(TRIM(A2))</f>
        <v>VIJAY AHLUWALIA</v>
      </c>
      <c r="F2" t="str">
        <f>PROPER(TRIM(A2))</f>
        <v>Vijay Ahluwalia</v>
      </c>
      <c r="G2" t="str">
        <f>LOWER(E2)</f>
        <v>vijay ahluwalia</v>
      </c>
    </row>
    <row r="3" spans="1:7" x14ac:dyDescent="0.3">
      <c r="A3" t="s">
        <v>136</v>
      </c>
      <c r="B3">
        <f t="shared" ref="B3:B4" si="0">LEN(A3)</f>
        <v>21</v>
      </c>
      <c r="C3" t="str">
        <f t="shared" ref="C3:C4" si="1">TRIM(A3)</f>
        <v>siddhant singh vats</v>
      </c>
      <c r="D3">
        <f t="shared" ref="D3:D4" si="2">LEN(C3)</f>
        <v>19</v>
      </c>
      <c r="E3" t="str">
        <f t="shared" ref="E3:E4" si="3">UPPER(TRIM(A3))</f>
        <v>SIDDHANT SINGH VATS</v>
      </c>
      <c r="F3" t="str">
        <f t="shared" ref="F3:F4" si="4">PROPER(TRIM(A3))</f>
        <v>Siddhant Singh Vats</v>
      </c>
      <c r="G3" t="str">
        <f t="shared" ref="G3:G4" si="5">LOWER(E3)</f>
        <v>siddhant singh vats</v>
      </c>
    </row>
    <row r="4" spans="1:7" x14ac:dyDescent="0.3">
      <c r="A4" t="s">
        <v>138</v>
      </c>
      <c r="B4">
        <f t="shared" si="0"/>
        <v>20</v>
      </c>
      <c r="C4" t="str">
        <f t="shared" si="1"/>
        <v>sultan ahmad khan</v>
      </c>
      <c r="D4">
        <f t="shared" si="2"/>
        <v>17</v>
      </c>
      <c r="E4" t="str">
        <f t="shared" si="3"/>
        <v>SULTAN AHMAD KHAN</v>
      </c>
      <c r="F4" t="str">
        <f t="shared" si="4"/>
        <v>Sultan Ahmad Khan</v>
      </c>
      <c r="G4" t="str">
        <f t="shared" si="5"/>
        <v>sultan ahmad khan</v>
      </c>
    </row>
    <row r="6" spans="1:7" x14ac:dyDescent="0.3">
      <c r="A6" t="s">
        <v>0</v>
      </c>
      <c r="B6" t="s">
        <v>146</v>
      </c>
      <c r="C6" t="s">
        <v>147</v>
      </c>
      <c r="D6" t="s">
        <v>148</v>
      </c>
      <c r="E6" t="s">
        <v>149</v>
      </c>
      <c r="F6" t="s">
        <v>150</v>
      </c>
    </row>
    <row r="7" spans="1:7" x14ac:dyDescent="0.3">
      <c r="A7" t="s">
        <v>143</v>
      </c>
      <c r="B7" t="str">
        <f>LEFT(A7,5)</f>
        <v>Vijay</v>
      </c>
      <c r="C7" t="str">
        <f>RIGHT(A7,9)</f>
        <v>Ahluwalia</v>
      </c>
      <c r="D7">
        <f>FIND("a",A7,FIND("a",A7)+1)</f>
        <v>12</v>
      </c>
      <c r="E7" t="str">
        <f>MID(A7,6,5)</f>
        <v xml:space="preserve"> Ahlu</v>
      </c>
      <c r="F7" t="str">
        <f>SUBSTITUTE(A7,"a","",3)</f>
        <v>Vijay Ahluwali</v>
      </c>
    </row>
    <row r="8" spans="1:7" x14ac:dyDescent="0.3">
      <c r="A8" t="s">
        <v>144</v>
      </c>
      <c r="B8" t="str">
        <f t="shared" ref="B8:B9" si="6">LEFT(A8,5)</f>
        <v>Siddh</v>
      </c>
      <c r="C8" t="str">
        <f t="shared" ref="C8:C9" si="7">RIGHT(A8,9)</f>
        <v>ingh Vats</v>
      </c>
      <c r="D8">
        <f t="shared" ref="D8:D9" si="8">FIND("a",A8,FIND("a",A8)+1)</f>
        <v>17</v>
      </c>
      <c r="E8" t="str">
        <f t="shared" ref="E8:E9" si="9">MID(A8,6,5)</f>
        <v>ant S</v>
      </c>
      <c r="F8" t="str">
        <f t="shared" ref="F8:F9" si="10">SUBSTITUTE(A8,"a","",3)</f>
        <v>Siddhant Singh Vats</v>
      </c>
    </row>
    <row r="9" spans="1:7" x14ac:dyDescent="0.3">
      <c r="A9" t="s">
        <v>145</v>
      </c>
      <c r="B9" t="str">
        <f t="shared" si="6"/>
        <v>Sulta</v>
      </c>
      <c r="C9" t="str">
        <f t="shared" si="7"/>
        <v>hmad Khan</v>
      </c>
      <c r="D9">
        <f t="shared" si="8"/>
        <v>11</v>
      </c>
      <c r="E9" t="str">
        <f t="shared" si="9"/>
        <v>n Ahm</v>
      </c>
      <c r="F9" t="str">
        <f t="shared" si="10"/>
        <v>Sultan Ahmad Khn</v>
      </c>
    </row>
    <row r="10" spans="1:7" x14ac:dyDescent="0.3">
      <c r="B10" s="2" t="s">
        <v>151</v>
      </c>
      <c r="D10" s="2" t="s">
        <v>153</v>
      </c>
    </row>
    <row r="11" spans="1:7" x14ac:dyDescent="0.3">
      <c r="C11" s="2" t="s">
        <v>152</v>
      </c>
      <c r="E11" s="2" t="s">
        <v>154</v>
      </c>
    </row>
    <row r="12" spans="1:7" x14ac:dyDescent="0.3">
      <c r="F12" s="2" t="s">
        <v>155</v>
      </c>
    </row>
    <row r="14" spans="1:7" x14ac:dyDescent="0.3">
      <c r="A14" t="s">
        <v>0</v>
      </c>
      <c r="B14" t="s">
        <v>156</v>
      </c>
      <c r="C14" t="s">
        <v>157</v>
      </c>
      <c r="D14" t="s">
        <v>158</v>
      </c>
      <c r="E14" t="s">
        <v>159</v>
      </c>
    </row>
    <row r="15" spans="1:7" x14ac:dyDescent="0.3">
      <c r="A15" t="s">
        <v>143</v>
      </c>
      <c r="B15" t="str">
        <f>LEFT(TRIM(A15),FIND(" ",TRIM(A15))-1)</f>
        <v>Vijay</v>
      </c>
      <c r="C15" t="str">
        <f>IFERROR(MID(A15,FIND(" ",A15)+1,FIND(" ",A15,FIND(" ",A15)+1)-FIND(" ",A15)),"")</f>
        <v/>
      </c>
      <c r="D15" t="str">
        <f>IFERROR(RIGHT(A15,LEN(A15)-FIND(" ",A15,FIND(" ",A15)+1)),RIGHT(A15,LEN(A15)-FIND(" ",A15)))</f>
        <v>Ahluwalia</v>
      </c>
      <c r="E15" t="str">
        <f>TRIM(B15&amp;" "&amp;C15&amp;" "&amp;D15)</f>
        <v>Vijay Ahluwalia</v>
      </c>
    </row>
    <row r="16" spans="1:7" x14ac:dyDescent="0.3">
      <c r="A16" t="s">
        <v>144</v>
      </c>
      <c r="B16" t="str">
        <f t="shared" ref="B16:B17" si="11">LEFT(TRIM(A16),FIND(" ",TRIM(A16))-1)</f>
        <v>Siddhant</v>
      </c>
      <c r="C16" t="str">
        <f t="shared" ref="C16:C17" si="12">IFERROR(MID(A16,FIND(" ",A16)+1,FIND(" ",A16,FIND(" ",A16)+1)-FIND(" ",A16)),"")</f>
        <v xml:space="preserve">Singh </v>
      </c>
      <c r="D16" t="str">
        <f t="shared" ref="D16:D17" si="13">IFERROR(RIGHT(A16,LEN(A16)-FIND(" ",A16,FIND(" ",A16)+1)),RIGHT(A16,LEN(A16)-FIND(" ",A16)))</f>
        <v>Vats</v>
      </c>
      <c r="E16" t="str">
        <f>TRIM(CONCATENATE(B16," ",C16," ",D16))</f>
        <v>Siddhant Singh Vats</v>
      </c>
    </row>
    <row r="17" spans="1:5" x14ac:dyDescent="0.3">
      <c r="A17" t="s">
        <v>145</v>
      </c>
      <c r="B17" t="str">
        <f t="shared" si="11"/>
        <v>Sultan</v>
      </c>
      <c r="C17" t="str">
        <f t="shared" si="12"/>
        <v xml:space="preserve">Ahmad </v>
      </c>
      <c r="D17" t="str">
        <f t="shared" si="13"/>
        <v>Khan</v>
      </c>
      <c r="E17" t="str">
        <f>TRIM(CONCATENATE(B17," ",C17," ",D17))</f>
        <v>Sultan Ahmad Khan</v>
      </c>
    </row>
    <row r="19" spans="1:5" x14ac:dyDescent="0.3">
      <c r="C19" t="str">
        <f>MID(A17,FIND(" ",A17)+1,FIND(" ",A17,FIND(" ",A17)+1)-FIND(" ",A17))</f>
        <v xml:space="preserve">Ahmad </v>
      </c>
    </row>
  </sheetData>
  <pageMargins left="0.7" right="0.7" top="0.75" bottom="0.75" header="0.3" footer="0.3"/>
  <ignoredErrors>
    <ignoredError sqref="C2:C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DB6A0-FDB6-424D-8D1E-4A88A1A3486A}">
  <sheetPr codeName="Sheet6"/>
  <dimension ref="A1:H11"/>
  <sheetViews>
    <sheetView showGridLines="0" zoomScale="160" zoomScaleNormal="160" workbookViewId="0">
      <selection activeCell="D13" sqref="D13"/>
    </sheetView>
  </sheetViews>
  <sheetFormatPr defaultRowHeight="15.6" x14ac:dyDescent="0.3"/>
  <cols>
    <col min="1" max="1" width="14.59765625" customWidth="1"/>
    <col min="2" max="2" width="16.8984375" customWidth="1"/>
    <col min="3" max="3" width="16.59765625" customWidth="1"/>
  </cols>
  <sheetData>
    <row r="1" spans="1:8" x14ac:dyDescent="0.3">
      <c r="A1" s="49" t="s">
        <v>160</v>
      </c>
      <c r="B1" s="50"/>
      <c r="C1" s="51"/>
    </row>
    <row r="2" spans="1:8" x14ac:dyDescent="0.3">
      <c r="A2" s="52"/>
      <c r="B2" s="53"/>
      <c r="C2" s="54"/>
    </row>
    <row r="3" spans="1:8" x14ac:dyDescent="0.3">
      <c r="A3" s="52"/>
      <c r="B3" s="53"/>
      <c r="C3" s="54"/>
    </row>
    <row r="4" spans="1:8" ht="16.2" thickBot="1" x14ac:dyDescent="0.35">
      <c r="A4" s="55"/>
      <c r="B4" s="56"/>
      <c r="C4" s="57"/>
    </row>
    <row r="5" spans="1:8" ht="16.2" thickBot="1" x14ac:dyDescent="0.35"/>
    <row r="6" spans="1:8" ht="16.2" thickBot="1" x14ac:dyDescent="0.35">
      <c r="A6" s="39" t="s">
        <v>161</v>
      </c>
      <c r="B6" s="44" t="s">
        <v>163</v>
      </c>
      <c r="C6" s="58"/>
    </row>
    <row r="7" spans="1:8" ht="16.2" thickBot="1" x14ac:dyDescent="0.35">
      <c r="E7" s="60" t="str">
        <f ca="1">IF(OR(B6="",B11=""),"Please enter name and DoB both","Dear " &amp;B6&amp;CHAR(10)&amp;"Your age as on today is"&amp;CHAR(10)&amp;DATEDIF(B11,TODAY(),"y")&amp;" years "&amp;DATEDIF(B11,TODAY(),"ym")&amp;" months "&amp;DATEDIF(B11,TODAY(),"md")&amp;" days")</f>
        <v>Dear Vidhyawati Sinha
Your age as on today is
22 years 1 months 3 days</v>
      </c>
      <c r="F7" s="61"/>
      <c r="G7" s="61"/>
      <c r="H7" s="62"/>
    </row>
    <row r="8" spans="1:8" x14ac:dyDescent="0.3">
      <c r="A8" s="40" t="s">
        <v>156</v>
      </c>
      <c r="B8" s="41" t="s">
        <v>157</v>
      </c>
      <c r="C8" s="42" t="s">
        <v>158</v>
      </c>
      <c r="E8" s="63"/>
      <c r="F8" s="64"/>
      <c r="G8" s="64"/>
      <c r="H8" s="65"/>
    </row>
    <row r="9" spans="1:8" ht="16.2" thickBot="1" x14ac:dyDescent="0.35">
      <c r="A9" s="38" t="str">
        <f>IFERROR(LEFT(B6,FIND(" ",B6)-1),B6)</f>
        <v>Vidhyawati</v>
      </c>
      <c r="B9" s="17" t="str">
        <f>IFERROR(MID(B6,FIND(" ",B6)+1,FIND(" ",B6,FIND(" ",B6)+1)-FIND(" ",B6)),"")</f>
        <v/>
      </c>
      <c r="C9" s="19" t="str">
        <f>IFERROR(IFERROR(RIGHT(B6,LEN(B6)-FIND(" ",B6,FIND(" ",B6)+1)),RIGHT(B6,LEN(B6)-FIND(" ",B6))),"")</f>
        <v>Sinha</v>
      </c>
      <c r="E9" s="63"/>
      <c r="F9" s="64"/>
      <c r="G9" s="64"/>
      <c r="H9" s="65"/>
    </row>
    <row r="10" spans="1:8" ht="16.2" thickBot="1" x14ac:dyDescent="0.35">
      <c r="E10" s="66"/>
      <c r="F10" s="67"/>
      <c r="G10" s="67"/>
      <c r="H10" s="68"/>
    </row>
    <row r="11" spans="1:8" ht="16.2" thickBot="1" x14ac:dyDescent="0.35">
      <c r="A11" s="7" t="s">
        <v>162</v>
      </c>
      <c r="B11" s="59">
        <v>36161</v>
      </c>
      <c r="C11" s="58"/>
    </row>
  </sheetData>
  <mergeCells count="4">
    <mergeCell ref="A1:C4"/>
    <mergeCell ref="B6:C6"/>
    <mergeCell ref="B11:C11"/>
    <mergeCell ref="E7:H10"/>
  </mergeCells>
  <conditionalFormatting sqref="A9">
    <cfRule type="cellIs" dxfId="6" priority="1" operator="equal">
      <formula>0</formula>
    </cfRule>
  </conditionalFormatting>
  <dataValidations count="1">
    <dataValidation type="date" operator="lessThan" allowBlank="1" showInputMessage="1" showErrorMessage="1" errorTitle="Date Error" error="Date must be of minimum of 2 days back " sqref="B11:C11" xr:uid="{90A7ED7D-FAAE-493C-8AF5-C68B2B8FACAE}">
      <formula1>TODAY()-1</formula1>
    </dataValidation>
  </dataValidations>
  <pageMargins left="1" right="1" top="1" bottom="1" header="0.5" footer="0.5"/>
  <pageSetup paperSize="9" orientation="landscape" cellComments="atEnd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96670-1AA9-4DDC-AFF2-D1BB9378D2D7}">
  <dimension ref="A1:H1751"/>
  <sheetViews>
    <sheetView workbookViewId="0">
      <selection activeCell="F4" sqref="F4"/>
    </sheetView>
  </sheetViews>
  <sheetFormatPr defaultRowHeight="15.6" x14ac:dyDescent="0.3"/>
  <cols>
    <col min="1" max="1" width="21" bestFit="1" customWidth="1"/>
    <col min="2" max="2" width="8.19921875" bestFit="1" customWidth="1"/>
    <col min="3" max="3" width="15.296875" bestFit="1" customWidth="1"/>
    <col min="4" max="4" width="17.59765625" bestFit="1" customWidth="1"/>
    <col min="5" max="5" width="11.09765625" bestFit="1" customWidth="1"/>
    <col min="6" max="6" width="10.3984375" bestFit="1" customWidth="1"/>
  </cols>
  <sheetData>
    <row r="1" spans="1:8" x14ac:dyDescent="0.3">
      <c r="A1" t="s">
        <v>164</v>
      </c>
      <c r="B1" t="s">
        <v>165</v>
      </c>
      <c r="C1" t="s">
        <v>166</v>
      </c>
      <c r="D1" t="s">
        <v>167</v>
      </c>
      <c r="E1" t="s">
        <v>168</v>
      </c>
      <c r="F1" t="s">
        <v>3385</v>
      </c>
    </row>
    <row r="2" spans="1:8" x14ac:dyDescent="0.3">
      <c r="A2" s="27" t="s">
        <v>169</v>
      </c>
      <c r="B2" s="27" t="s">
        <v>22</v>
      </c>
      <c r="C2">
        <v>14.4</v>
      </c>
      <c r="D2">
        <v>17.25</v>
      </c>
      <c r="E2" s="27" t="s">
        <v>170</v>
      </c>
      <c r="F2" s="27">
        <v>1</v>
      </c>
      <c r="H2" s="69" t="s">
        <v>169</v>
      </c>
    </row>
    <row r="3" spans="1:8" x14ac:dyDescent="0.3">
      <c r="A3" s="27" t="s">
        <v>171</v>
      </c>
      <c r="B3" s="27" t="s">
        <v>11</v>
      </c>
      <c r="C3">
        <v>5.62</v>
      </c>
      <c r="D3">
        <v>6.65</v>
      </c>
      <c r="E3" s="27" t="s">
        <v>3290</v>
      </c>
      <c r="F3" s="27">
        <v>2</v>
      </c>
      <c r="H3" s="70" t="s">
        <v>171</v>
      </c>
    </row>
    <row r="4" spans="1:8" x14ac:dyDescent="0.3">
      <c r="A4" s="27" t="s">
        <v>172</v>
      </c>
      <c r="B4" s="27" t="s">
        <v>11</v>
      </c>
      <c r="C4">
        <v>157</v>
      </c>
      <c r="D4">
        <v>183.85</v>
      </c>
      <c r="E4" s="27" t="s">
        <v>3291</v>
      </c>
      <c r="F4" s="27"/>
      <c r="H4" s="69" t="s">
        <v>172</v>
      </c>
    </row>
    <row r="5" spans="1:8" x14ac:dyDescent="0.3">
      <c r="A5" s="27" t="s">
        <v>173</v>
      </c>
      <c r="B5" s="27" t="s">
        <v>10</v>
      </c>
      <c r="C5">
        <v>101.9</v>
      </c>
      <c r="D5">
        <v>118.4</v>
      </c>
      <c r="E5" s="27" t="s">
        <v>3292</v>
      </c>
      <c r="F5" s="27"/>
      <c r="H5" s="70" t="s">
        <v>173</v>
      </c>
    </row>
    <row r="6" spans="1:8" x14ac:dyDescent="0.3">
      <c r="A6" s="27" t="s">
        <v>181</v>
      </c>
      <c r="B6" s="27" t="s">
        <v>11</v>
      </c>
      <c r="C6">
        <v>27.8</v>
      </c>
      <c r="D6">
        <v>32.25</v>
      </c>
      <c r="E6" s="27" t="s">
        <v>3293</v>
      </c>
      <c r="F6" s="27"/>
      <c r="H6" s="69" t="s">
        <v>174</v>
      </c>
    </row>
    <row r="7" spans="1:8" x14ac:dyDescent="0.3">
      <c r="A7" s="27" t="s">
        <v>174</v>
      </c>
      <c r="B7" s="27" t="s">
        <v>11</v>
      </c>
      <c r="C7">
        <v>115.9</v>
      </c>
      <c r="D7">
        <v>134.44999999999999</v>
      </c>
      <c r="E7" s="27" t="s">
        <v>3293</v>
      </c>
      <c r="F7" s="27"/>
    </row>
    <row r="8" spans="1:8" x14ac:dyDescent="0.3">
      <c r="A8" s="27" t="s">
        <v>176</v>
      </c>
      <c r="B8" s="27" t="s">
        <v>11</v>
      </c>
      <c r="C8">
        <v>24.75</v>
      </c>
      <c r="D8">
        <v>28.35</v>
      </c>
      <c r="E8" s="27" t="s">
        <v>177</v>
      </c>
      <c r="F8" s="27"/>
    </row>
    <row r="9" spans="1:8" x14ac:dyDescent="0.3">
      <c r="A9" s="27" t="s">
        <v>180</v>
      </c>
      <c r="B9" s="27" t="s">
        <v>10</v>
      </c>
      <c r="C9">
        <v>333.9</v>
      </c>
      <c r="D9">
        <v>380.25</v>
      </c>
      <c r="E9" s="27" t="s">
        <v>3294</v>
      </c>
      <c r="F9" s="27"/>
    </row>
    <row r="10" spans="1:8" x14ac:dyDescent="0.3">
      <c r="A10" s="27" t="s">
        <v>178</v>
      </c>
      <c r="B10" s="27" t="s">
        <v>11</v>
      </c>
      <c r="C10">
        <v>85.4</v>
      </c>
      <c r="D10">
        <v>97.2</v>
      </c>
      <c r="E10" s="27" t="s">
        <v>179</v>
      </c>
      <c r="F10" s="27"/>
    </row>
    <row r="11" spans="1:8" x14ac:dyDescent="0.3">
      <c r="A11" s="27" t="s">
        <v>175</v>
      </c>
      <c r="B11" s="27" t="s">
        <v>10</v>
      </c>
      <c r="C11">
        <v>1015.45</v>
      </c>
      <c r="D11">
        <v>1148.1500000000001</v>
      </c>
      <c r="E11" s="27" t="s">
        <v>3295</v>
      </c>
      <c r="F11" s="27"/>
    </row>
    <row r="12" spans="1:8" x14ac:dyDescent="0.3">
      <c r="A12" s="27" t="s">
        <v>182</v>
      </c>
      <c r="B12" s="27" t="s">
        <v>33</v>
      </c>
      <c r="C12">
        <v>38.200000000000003</v>
      </c>
      <c r="D12">
        <v>42.8</v>
      </c>
      <c r="E12" s="27" t="s">
        <v>183</v>
      </c>
      <c r="F12" s="27"/>
    </row>
    <row r="13" spans="1:8" x14ac:dyDescent="0.3">
      <c r="A13" s="27" t="s">
        <v>187</v>
      </c>
      <c r="B13" s="27" t="s">
        <v>11</v>
      </c>
      <c r="C13">
        <v>312.95</v>
      </c>
      <c r="D13">
        <v>345.7</v>
      </c>
      <c r="E13" s="27" t="s">
        <v>3296</v>
      </c>
      <c r="F13" s="27"/>
    </row>
    <row r="14" spans="1:8" x14ac:dyDescent="0.3">
      <c r="A14" s="27" t="s">
        <v>188</v>
      </c>
      <c r="B14" s="27" t="s">
        <v>33</v>
      </c>
      <c r="C14">
        <v>334.2</v>
      </c>
      <c r="D14">
        <v>369</v>
      </c>
      <c r="E14" s="27" t="s">
        <v>3297</v>
      </c>
      <c r="F14" s="27"/>
    </row>
    <row r="15" spans="1:8" x14ac:dyDescent="0.3">
      <c r="A15" s="27" t="s">
        <v>185</v>
      </c>
      <c r="B15" s="27" t="s">
        <v>33</v>
      </c>
      <c r="C15">
        <v>58.7</v>
      </c>
      <c r="D15">
        <v>64.75</v>
      </c>
      <c r="E15" s="27" t="s">
        <v>186</v>
      </c>
      <c r="F15" s="27"/>
    </row>
    <row r="16" spans="1:8" x14ac:dyDescent="0.3">
      <c r="A16" s="27" t="s">
        <v>184</v>
      </c>
      <c r="B16" s="27" t="s">
        <v>11</v>
      </c>
      <c r="C16">
        <v>527.4</v>
      </c>
      <c r="D16">
        <v>580.25</v>
      </c>
      <c r="E16" s="27" t="s">
        <v>3298</v>
      </c>
      <c r="F16" s="27"/>
    </row>
    <row r="17" spans="1:6" x14ac:dyDescent="0.3">
      <c r="A17" s="27" t="s">
        <v>189</v>
      </c>
      <c r="B17" s="27" t="s">
        <v>33</v>
      </c>
      <c r="C17">
        <v>8.6999999999999993</v>
      </c>
      <c r="D17">
        <v>9.57</v>
      </c>
      <c r="E17" s="27" t="s">
        <v>190</v>
      </c>
      <c r="F17" s="27"/>
    </row>
    <row r="18" spans="1:6" x14ac:dyDescent="0.3">
      <c r="A18" s="27" t="s">
        <v>191</v>
      </c>
      <c r="B18" s="27" t="s">
        <v>10</v>
      </c>
      <c r="C18">
        <v>201.75</v>
      </c>
      <c r="D18">
        <v>221.9</v>
      </c>
      <c r="E18" s="27" t="s">
        <v>192</v>
      </c>
      <c r="F18" s="27"/>
    </row>
    <row r="19" spans="1:6" x14ac:dyDescent="0.3">
      <c r="A19" s="27" t="s">
        <v>193</v>
      </c>
      <c r="B19" s="27" t="s">
        <v>33</v>
      </c>
      <c r="C19">
        <v>15.86</v>
      </c>
      <c r="D19">
        <v>17.440000000000001</v>
      </c>
      <c r="E19" s="27" t="s">
        <v>194</v>
      </c>
      <c r="F19" s="27"/>
    </row>
    <row r="20" spans="1:6" x14ac:dyDescent="0.3">
      <c r="A20" s="27" t="s">
        <v>195</v>
      </c>
      <c r="B20" s="27" t="s">
        <v>33</v>
      </c>
      <c r="C20">
        <v>18.600000000000001</v>
      </c>
      <c r="D20">
        <v>20.45</v>
      </c>
      <c r="E20" s="27" t="s">
        <v>196</v>
      </c>
      <c r="F20" s="27"/>
    </row>
    <row r="21" spans="1:6" x14ac:dyDescent="0.3">
      <c r="A21" s="27" t="s">
        <v>197</v>
      </c>
      <c r="B21" s="27" t="s">
        <v>10</v>
      </c>
      <c r="C21">
        <v>62.9</v>
      </c>
      <c r="D21">
        <v>69.150000000000006</v>
      </c>
      <c r="E21" s="27" t="s">
        <v>198</v>
      </c>
      <c r="F21" s="27"/>
    </row>
    <row r="22" spans="1:6" x14ac:dyDescent="0.3">
      <c r="A22" s="27" t="s">
        <v>199</v>
      </c>
      <c r="B22" s="27" t="s">
        <v>10</v>
      </c>
      <c r="C22">
        <v>11353.85</v>
      </c>
      <c r="D22">
        <v>12450</v>
      </c>
      <c r="E22" s="27" t="s">
        <v>3299</v>
      </c>
      <c r="F22" s="27"/>
    </row>
    <row r="23" spans="1:6" x14ac:dyDescent="0.3">
      <c r="A23" s="27" t="s">
        <v>200</v>
      </c>
      <c r="B23" s="27" t="s">
        <v>10</v>
      </c>
      <c r="C23">
        <v>2710.45</v>
      </c>
      <c r="D23">
        <v>2965.5</v>
      </c>
      <c r="E23" s="27" t="s">
        <v>201</v>
      </c>
      <c r="F23" s="27"/>
    </row>
    <row r="24" spans="1:6" x14ac:dyDescent="0.3">
      <c r="A24" s="27" t="s">
        <v>204</v>
      </c>
      <c r="B24" s="27" t="s">
        <v>33</v>
      </c>
      <c r="C24">
        <v>1140.45</v>
      </c>
      <c r="D24">
        <v>1243.9000000000001</v>
      </c>
      <c r="E24" s="27" t="s">
        <v>205</v>
      </c>
      <c r="F24" s="27"/>
    </row>
    <row r="25" spans="1:6" x14ac:dyDescent="0.3">
      <c r="A25" s="27" t="s">
        <v>202</v>
      </c>
      <c r="B25" s="27" t="s">
        <v>10</v>
      </c>
      <c r="C25">
        <v>11790</v>
      </c>
      <c r="D25">
        <v>12859</v>
      </c>
      <c r="E25" s="27" t="s">
        <v>205</v>
      </c>
      <c r="F25" s="27"/>
    </row>
    <row r="26" spans="1:6" x14ac:dyDescent="0.3">
      <c r="A26" s="27" t="s">
        <v>215</v>
      </c>
      <c r="B26" s="27" t="s">
        <v>11</v>
      </c>
      <c r="C26">
        <v>124.65</v>
      </c>
      <c r="D26">
        <v>135.9</v>
      </c>
      <c r="E26" s="27" t="s">
        <v>3300</v>
      </c>
      <c r="F26" s="27"/>
    </row>
    <row r="27" spans="1:6" x14ac:dyDescent="0.3">
      <c r="A27" s="27" t="s">
        <v>206</v>
      </c>
      <c r="B27" s="27" t="s">
        <v>11</v>
      </c>
      <c r="C27">
        <v>346.35</v>
      </c>
      <c r="D27">
        <v>377</v>
      </c>
      <c r="E27" s="27" t="s">
        <v>207</v>
      </c>
      <c r="F27" s="27"/>
    </row>
    <row r="28" spans="1:6" x14ac:dyDescent="0.3">
      <c r="A28" s="27" t="s">
        <v>208</v>
      </c>
      <c r="B28" s="27" t="s">
        <v>11</v>
      </c>
      <c r="C28">
        <v>27.15</v>
      </c>
      <c r="D28">
        <v>29.55</v>
      </c>
      <c r="E28" s="27" t="s">
        <v>209</v>
      </c>
      <c r="F28" s="27"/>
    </row>
    <row r="29" spans="1:6" x14ac:dyDescent="0.3">
      <c r="A29" s="27" t="s">
        <v>210</v>
      </c>
      <c r="B29" s="27" t="s">
        <v>10</v>
      </c>
      <c r="C29">
        <v>265.75</v>
      </c>
      <c r="D29">
        <v>288.85000000000002</v>
      </c>
      <c r="E29" s="27" t="s">
        <v>3301</v>
      </c>
      <c r="F29" s="27"/>
    </row>
    <row r="30" spans="1:6" x14ac:dyDescent="0.3">
      <c r="A30" s="27" t="s">
        <v>211</v>
      </c>
      <c r="B30" s="27" t="s">
        <v>22</v>
      </c>
      <c r="C30">
        <v>3.55</v>
      </c>
      <c r="D30">
        <v>3.85</v>
      </c>
      <c r="E30" s="27" t="s">
        <v>212</v>
      </c>
      <c r="F30" s="27"/>
    </row>
    <row r="31" spans="1:6" x14ac:dyDescent="0.3">
      <c r="A31" s="27" t="s">
        <v>213</v>
      </c>
      <c r="B31" s="27" t="s">
        <v>22</v>
      </c>
      <c r="C31">
        <v>36.35</v>
      </c>
      <c r="D31">
        <v>39.4</v>
      </c>
      <c r="E31" s="27" t="s">
        <v>214</v>
      </c>
      <c r="F31" s="27"/>
    </row>
    <row r="32" spans="1:6" x14ac:dyDescent="0.3">
      <c r="A32" s="27" t="s">
        <v>203</v>
      </c>
      <c r="B32" s="27" t="s">
        <v>11</v>
      </c>
      <c r="C32">
        <v>22.9</v>
      </c>
      <c r="D32">
        <v>24.8</v>
      </c>
      <c r="E32" s="27" t="s">
        <v>216</v>
      </c>
      <c r="F32" s="27"/>
    </row>
    <row r="33" spans="1:6" x14ac:dyDescent="0.3">
      <c r="A33" s="27" t="s">
        <v>217</v>
      </c>
      <c r="B33" s="27" t="s">
        <v>11</v>
      </c>
      <c r="C33">
        <v>1988.3</v>
      </c>
      <c r="D33">
        <v>2150</v>
      </c>
      <c r="E33" s="27" t="s">
        <v>218</v>
      </c>
      <c r="F33" s="27"/>
    </row>
    <row r="34" spans="1:6" x14ac:dyDescent="0.3">
      <c r="A34" s="27" t="s">
        <v>223</v>
      </c>
      <c r="B34" s="27" t="s">
        <v>10</v>
      </c>
      <c r="C34">
        <v>940.55</v>
      </c>
      <c r="D34">
        <v>1015.9</v>
      </c>
      <c r="E34" s="27" t="s">
        <v>3302</v>
      </c>
      <c r="F34" s="27"/>
    </row>
    <row r="35" spans="1:6" x14ac:dyDescent="0.3">
      <c r="A35" s="27" t="s">
        <v>219</v>
      </c>
      <c r="B35" s="27" t="s">
        <v>10</v>
      </c>
      <c r="C35">
        <v>2644.3</v>
      </c>
      <c r="D35">
        <v>2853.85</v>
      </c>
      <c r="E35" s="27" t="s">
        <v>3303</v>
      </c>
      <c r="F35" s="27"/>
    </row>
    <row r="36" spans="1:6" x14ac:dyDescent="0.3">
      <c r="A36" s="27" t="s">
        <v>259</v>
      </c>
      <c r="B36" s="27" t="s">
        <v>11</v>
      </c>
      <c r="C36">
        <v>57.5</v>
      </c>
      <c r="D36">
        <v>62.05</v>
      </c>
      <c r="E36" s="27" t="s">
        <v>3304</v>
      </c>
      <c r="F36" s="27"/>
    </row>
    <row r="37" spans="1:6" x14ac:dyDescent="0.3">
      <c r="A37" s="27" t="s">
        <v>221</v>
      </c>
      <c r="B37" s="27" t="s">
        <v>33</v>
      </c>
      <c r="C37">
        <v>29.7</v>
      </c>
      <c r="D37">
        <v>32</v>
      </c>
      <c r="E37" s="27" t="s">
        <v>222</v>
      </c>
      <c r="F37" s="27"/>
    </row>
    <row r="38" spans="1:6" x14ac:dyDescent="0.3">
      <c r="A38" s="27" t="s">
        <v>227</v>
      </c>
      <c r="B38" s="27" t="s">
        <v>10</v>
      </c>
      <c r="C38">
        <v>66.349999999999994</v>
      </c>
      <c r="D38">
        <v>71.45</v>
      </c>
      <c r="E38" s="27" t="s">
        <v>3305</v>
      </c>
      <c r="F38" s="27"/>
    </row>
    <row r="39" spans="1:6" x14ac:dyDescent="0.3">
      <c r="A39" s="27" t="s">
        <v>220</v>
      </c>
      <c r="B39" s="27" t="s">
        <v>11</v>
      </c>
      <c r="C39">
        <v>206.3</v>
      </c>
      <c r="D39">
        <v>222</v>
      </c>
      <c r="E39" s="27" t="s">
        <v>3306</v>
      </c>
      <c r="F39" s="27"/>
    </row>
    <row r="40" spans="1:6" x14ac:dyDescent="0.3">
      <c r="A40" s="27" t="s">
        <v>226</v>
      </c>
      <c r="B40" s="27" t="s">
        <v>10</v>
      </c>
      <c r="C40">
        <v>566.15</v>
      </c>
      <c r="D40">
        <v>608.79999999999995</v>
      </c>
      <c r="E40" s="27" t="s">
        <v>229</v>
      </c>
      <c r="F40" s="27"/>
    </row>
    <row r="41" spans="1:6" x14ac:dyDescent="0.3">
      <c r="A41" s="27" t="s">
        <v>228</v>
      </c>
      <c r="B41" s="27" t="s">
        <v>11</v>
      </c>
      <c r="C41">
        <v>299.45</v>
      </c>
      <c r="D41">
        <v>322</v>
      </c>
      <c r="E41" s="27" t="s">
        <v>229</v>
      </c>
      <c r="F41" s="27"/>
    </row>
    <row r="42" spans="1:6" x14ac:dyDescent="0.3">
      <c r="A42" s="27" t="s">
        <v>230</v>
      </c>
      <c r="B42" s="27" t="s">
        <v>10</v>
      </c>
      <c r="C42">
        <v>240.7</v>
      </c>
      <c r="D42">
        <v>258.8</v>
      </c>
      <c r="E42" s="27" t="s">
        <v>3307</v>
      </c>
      <c r="F42" s="27"/>
    </row>
    <row r="43" spans="1:6" x14ac:dyDescent="0.3">
      <c r="A43" s="27" t="s">
        <v>232</v>
      </c>
      <c r="B43" s="27" t="s">
        <v>33</v>
      </c>
      <c r="C43">
        <v>23.8</v>
      </c>
      <c r="D43">
        <v>25.55</v>
      </c>
      <c r="E43" s="27" t="s">
        <v>233</v>
      </c>
      <c r="F43" s="27"/>
    </row>
    <row r="44" spans="1:6" x14ac:dyDescent="0.3">
      <c r="A44" s="27" t="s">
        <v>244</v>
      </c>
      <c r="B44" s="27" t="s">
        <v>11</v>
      </c>
      <c r="C44">
        <v>437.85</v>
      </c>
      <c r="D44">
        <v>470</v>
      </c>
      <c r="E44" s="27" t="s">
        <v>3308</v>
      </c>
      <c r="F44" s="27"/>
    </row>
    <row r="45" spans="1:6" x14ac:dyDescent="0.3">
      <c r="A45" s="27" t="s">
        <v>234</v>
      </c>
      <c r="B45" s="27" t="s">
        <v>33</v>
      </c>
      <c r="C45">
        <v>15</v>
      </c>
      <c r="D45">
        <v>16.100000000000001</v>
      </c>
      <c r="E45" s="27" t="s">
        <v>235</v>
      </c>
      <c r="F45" s="27"/>
    </row>
    <row r="46" spans="1:6" x14ac:dyDescent="0.3">
      <c r="A46" s="27" t="s">
        <v>231</v>
      </c>
      <c r="B46" s="27" t="s">
        <v>11</v>
      </c>
      <c r="C46">
        <v>55.6</v>
      </c>
      <c r="D46">
        <v>59.65</v>
      </c>
      <c r="E46" s="27" t="s">
        <v>3309</v>
      </c>
      <c r="F46" s="27"/>
    </row>
    <row r="47" spans="1:6" x14ac:dyDescent="0.3">
      <c r="A47" s="27" t="s">
        <v>236</v>
      </c>
      <c r="B47" s="27" t="s">
        <v>33</v>
      </c>
      <c r="C47">
        <v>105.5</v>
      </c>
      <c r="D47">
        <v>113.15</v>
      </c>
      <c r="E47" s="27" t="s">
        <v>237</v>
      </c>
      <c r="F47" s="27"/>
    </row>
    <row r="48" spans="1:6" x14ac:dyDescent="0.3">
      <c r="A48" s="27" t="s">
        <v>224</v>
      </c>
      <c r="B48" s="27" t="s">
        <v>33</v>
      </c>
      <c r="C48">
        <v>7.06</v>
      </c>
      <c r="D48">
        <v>7.57</v>
      </c>
      <c r="E48" s="27" t="s">
        <v>3310</v>
      </c>
      <c r="F48" s="27"/>
    </row>
    <row r="49" spans="1:6" x14ac:dyDescent="0.3">
      <c r="A49" s="27" t="s">
        <v>239</v>
      </c>
      <c r="B49" s="27" t="s">
        <v>10</v>
      </c>
      <c r="C49">
        <v>643.45000000000005</v>
      </c>
      <c r="D49">
        <v>689.65</v>
      </c>
      <c r="E49" s="27" t="s">
        <v>3311</v>
      </c>
      <c r="F49" s="27"/>
    </row>
    <row r="50" spans="1:6" x14ac:dyDescent="0.3">
      <c r="A50" s="27" t="s">
        <v>243</v>
      </c>
      <c r="B50" s="27" t="s">
        <v>10</v>
      </c>
      <c r="C50">
        <v>1870.1</v>
      </c>
      <c r="D50">
        <v>2002.45</v>
      </c>
      <c r="E50" s="27" t="s">
        <v>3312</v>
      </c>
      <c r="F50" s="27"/>
    </row>
    <row r="51" spans="1:6" x14ac:dyDescent="0.3">
      <c r="A51" s="27" t="s">
        <v>240</v>
      </c>
      <c r="B51" s="27" t="s">
        <v>10</v>
      </c>
      <c r="C51">
        <v>601.79999999999995</v>
      </c>
      <c r="D51">
        <v>644</v>
      </c>
      <c r="E51" s="27" t="s">
        <v>241</v>
      </c>
      <c r="F51" s="27"/>
    </row>
    <row r="52" spans="1:6" x14ac:dyDescent="0.3">
      <c r="A52" s="27" t="s">
        <v>238</v>
      </c>
      <c r="B52" s="27" t="s">
        <v>10</v>
      </c>
      <c r="C52">
        <v>156.25</v>
      </c>
      <c r="D52">
        <v>167.1</v>
      </c>
      <c r="E52" s="27" t="s">
        <v>3313</v>
      </c>
      <c r="F52" s="27"/>
    </row>
    <row r="53" spans="1:6" x14ac:dyDescent="0.3">
      <c r="A53" s="27" t="s">
        <v>242</v>
      </c>
      <c r="B53" s="27" t="s">
        <v>10</v>
      </c>
      <c r="C53">
        <v>227.3</v>
      </c>
      <c r="D53">
        <v>243</v>
      </c>
      <c r="E53" s="27" t="s">
        <v>3314</v>
      </c>
      <c r="F53" s="27"/>
    </row>
    <row r="54" spans="1:6" x14ac:dyDescent="0.3">
      <c r="A54" s="27" t="s">
        <v>245</v>
      </c>
      <c r="B54" s="27" t="s">
        <v>11</v>
      </c>
      <c r="C54">
        <v>585.35</v>
      </c>
      <c r="D54">
        <v>625</v>
      </c>
      <c r="E54" s="27" t="s">
        <v>3315</v>
      </c>
      <c r="F54" s="27"/>
    </row>
    <row r="55" spans="1:6" x14ac:dyDescent="0.3">
      <c r="A55" s="27" t="s">
        <v>225</v>
      </c>
      <c r="B55" s="27" t="s">
        <v>10</v>
      </c>
      <c r="C55">
        <v>2612.8000000000002</v>
      </c>
      <c r="D55">
        <v>2788</v>
      </c>
      <c r="E55" s="27" t="s">
        <v>3316</v>
      </c>
      <c r="F55" s="27"/>
    </row>
    <row r="56" spans="1:6" x14ac:dyDescent="0.3">
      <c r="A56" s="27" t="s">
        <v>248</v>
      </c>
      <c r="B56" s="27" t="s">
        <v>33</v>
      </c>
      <c r="C56">
        <v>38.549999999999997</v>
      </c>
      <c r="D56">
        <v>41.1</v>
      </c>
      <c r="E56" s="27" t="s">
        <v>249</v>
      </c>
      <c r="F56" s="27"/>
    </row>
    <row r="57" spans="1:6" x14ac:dyDescent="0.3">
      <c r="A57" s="27" t="s">
        <v>246</v>
      </c>
      <c r="B57" s="27" t="s">
        <v>10</v>
      </c>
      <c r="C57">
        <v>375.85</v>
      </c>
      <c r="D57">
        <v>400.3</v>
      </c>
      <c r="E57" s="27" t="s">
        <v>3317</v>
      </c>
      <c r="F57" s="27"/>
    </row>
    <row r="58" spans="1:6" x14ac:dyDescent="0.3">
      <c r="A58" s="27" t="s">
        <v>252</v>
      </c>
      <c r="B58" s="27" t="s">
        <v>33</v>
      </c>
      <c r="C58">
        <v>5.24</v>
      </c>
      <c r="D58">
        <v>5.58</v>
      </c>
      <c r="E58" s="27" t="s">
        <v>253</v>
      </c>
      <c r="F58" s="27"/>
    </row>
    <row r="59" spans="1:6" x14ac:dyDescent="0.3">
      <c r="A59" s="27" t="s">
        <v>251</v>
      </c>
      <c r="B59" s="27" t="s">
        <v>10</v>
      </c>
      <c r="C59">
        <v>93.35</v>
      </c>
      <c r="D59">
        <v>99.4</v>
      </c>
      <c r="E59" s="27" t="s">
        <v>3318</v>
      </c>
      <c r="F59" s="27"/>
    </row>
    <row r="60" spans="1:6" x14ac:dyDescent="0.3">
      <c r="A60" s="27" t="s">
        <v>250</v>
      </c>
      <c r="B60" s="27" t="s">
        <v>10</v>
      </c>
      <c r="C60">
        <v>218.25</v>
      </c>
      <c r="D60">
        <v>232.4</v>
      </c>
      <c r="E60" s="27" t="s">
        <v>3318</v>
      </c>
      <c r="F60" s="27"/>
    </row>
    <row r="61" spans="1:6" x14ac:dyDescent="0.3">
      <c r="A61" s="27" t="s">
        <v>247</v>
      </c>
      <c r="B61" s="27" t="s">
        <v>10</v>
      </c>
      <c r="C61">
        <v>255.95</v>
      </c>
      <c r="D61">
        <v>272.5</v>
      </c>
      <c r="E61" s="27" t="s">
        <v>3319</v>
      </c>
      <c r="F61" s="27"/>
    </row>
    <row r="62" spans="1:6" x14ac:dyDescent="0.3">
      <c r="A62" s="27" t="s">
        <v>254</v>
      </c>
      <c r="B62" s="27" t="s">
        <v>33</v>
      </c>
      <c r="C62">
        <v>340.9</v>
      </c>
      <c r="D62">
        <v>362.9</v>
      </c>
      <c r="E62" s="27" t="s">
        <v>255</v>
      </c>
      <c r="F62" s="27"/>
    </row>
    <row r="63" spans="1:6" x14ac:dyDescent="0.3">
      <c r="A63" s="27" t="s">
        <v>257</v>
      </c>
      <c r="B63" s="27" t="s">
        <v>11</v>
      </c>
      <c r="C63">
        <v>101.9</v>
      </c>
      <c r="D63">
        <v>108.4</v>
      </c>
      <c r="E63" s="27" t="s">
        <v>258</v>
      </c>
      <c r="F63" s="27"/>
    </row>
    <row r="64" spans="1:6" x14ac:dyDescent="0.3">
      <c r="A64" s="27" t="s">
        <v>260</v>
      </c>
      <c r="B64" s="27" t="s">
        <v>10</v>
      </c>
      <c r="C64">
        <v>2043.75</v>
      </c>
      <c r="D64">
        <v>2173</v>
      </c>
      <c r="E64" s="27" t="s">
        <v>261</v>
      </c>
      <c r="F64" s="27"/>
    </row>
    <row r="65" spans="1:6" x14ac:dyDescent="0.3">
      <c r="A65" s="27" t="s">
        <v>290</v>
      </c>
      <c r="B65" s="27" t="s">
        <v>10</v>
      </c>
      <c r="C65">
        <v>1943.95</v>
      </c>
      <c r="D65">
        <v>2064.5500000000002</v>
      </c>
      <c r="E65" s="27" t="s">
        <v>3320</v>
      </c>
      <c r="F65" s="27"/>
    </row>
    <row r="66" spans="1:6" x14ac:dyDescent="0.3">
      <c r="A66" s="27" t="s">
        <v>429</v>
      </c>
      <c r="B66" s="27" t="s">
        <v>11</v>
      </c>
      <c r="C66">
        <v>24.25</v>
      </c>
      <c r="D66">
        <v>25.75</v>
      </c>
      <c r="E66" s="27" t="s">
        <v>3321</v>
      </c>
      <c r="F66" s="27"/>
    </row>
    <row r="67" spans="1:6" x14ac:dyDescent="0.3">
      <c r="A67" s="27" t="s">
        <v>318</v>
      </c>
      <c r="B67" s="27" t="s">
        <v>11</v>
      </c>
      <c r="C67">
        <v>273.10000000000002</v>
      </c>
      <c r="D67">
        <v>290</v>
      </c>
      <c r="E67" s="27" t="s">
        <v>3321</v>
      </c>
      <c r="F67" s="27"/>
    </row>
    <row r="68" spans="1:6" x14ac:dyDescent="0.3">
      <c r="A68" s="27" t="s">
        <v>264</v>
      </c>
      <c r="B68" s="27" t="s">
        <v>11</v>
      </c>
      <c r="C68">
        <v>70</v>
      </c>
      <c r="D68">
        <v>74.3</v>
      </c>
      <c r="E68" s="27" t="s">
        <v>263</v>
      </c>
      <c r="F68" s="27"/>
    </row>
    <row r="69" spans="1:6" x14ac:dyDescent="0.3">
      <c r="A69" s="27" t="s">
        <v>262</v>
      </c>
      <c r="B69" s="27" t="s">
        <v>11</v>
      </c>
      <c r="C69">
        <v>134.35</v>
      </c>
      <c r="D69">
        <v>142.6</v>
      </c>
      <c r="E69" s="27" t="s">
        <v>263</v>
      </c>
      <c r="F69" s="27"/>
    </row>
    <row r="70" spans="1:6" x14ac:dyDescent="0.3">
      <c r="A70" s="27" t="s">
        <v>272</v>
      </c>
      <c r="B70" s="27" t="s">
        <v>10</v>
      </c>
      <c r="C70">
        <v>423.9</v>
      </c>
      <c r="D70">
        <v>449.8</v>
      </c>
      <c r="E70" s="27" t="s">
        <v>3322</v>
      </c>
      <c r="F70" s="27"/>
    </row>
    <row r="71" spans="1:6" x14ac:dyDescent="0.3">
      <c r="A71" s="27" t="s">
        <v>268</v>
      </c>
      <c r="B71" s="27" t="s">
        <v>33</v>
      </c>
      <c r="C71">
        <v>26.7</v>
      </c>
      <c r="D71">
        <v>28.3</v>
      </c>
      <c r="E71" s="27" t="s">
        <v>267</v>
      </c>
      <c r="F71" s="27"/>
    </row>
    <row r="72" spans="1:6" x14ac:dyDescent="0.3">
      <c r="A72" s="27" t="s">
        <v>266</v>
      </c>
      <c r="B72" s="27" t="s">
        <v>33</v>
      </c>
      <c r="C72">
        <v>10.18</v>
      </c>
      <c r="D72">
        <v>10.79</v>
      </c>
      <c r="E72" s="27" t="s">
        <v>267</v>
      </c>
      <c r="F72" s="27"/>
    </row>
    <row r="73" spans="1:6" x14ac:dyDescent="0.3">
      <c r="A73" s="27" t="s">
        <v>256</v>
      </c>
      <c r="B73" s="27" t="s">
        <v>10</v>
      </c>
      <c r="C73">
        <v>289.64999999999998</v>
      </c>
      <c r="D73">
        <v>307</v>
      </c>
      <c r="E73" s="27" t="s">
        <v>267</v>
      </c>
      <c r="F73" s="27"/>
    </row>
    <row r="74" spans="1:6" x14ac:dyDescent="0.3">
      <c r="A74" s="27" t="s">
        <v>269</v>
      </c>
      <c r="B74" s="27" t="s">
        <v>11</v>
      </c>
      <c r="C74">
        <v>31.85</v>
      </c>
      <c r="D74">
        <v>33.75</v>
      </c>
      <c r="E74" s="27" t="s">
        <v>270</v>
      </c>
      <c r="F74" s="27"/>
    </row>
    <row r="75" spans="1:6" x14ac:dyDescent="0.3">
      <c r="A75" s="27" t="s">
        <v>273</v>
      </c>
      <c r="B75" s="27" t="s">
        <v>10</v>
      </c>
      <c r="C75">
        <v>172.8</v>
      </c>
      <c r="D75">
        <v>183.1</v>
      </c>
      <c r="E75" s="27" t="s">
        <v>3323</v>
      </c>
      <c r="F75" s="27"/>
    </row>
    <row r="76" spans="1:6" x14ac:dyDescent="0.3">
      <c r="A76" s="27" t="s">
        <v>278</v>
      </c>
      <c r="B76" s="27" t="s">
        <v>11</v>
      </c>
      <c r="C76">
        <v>606.20000000000005</v>
      </c>
      <c r="D76">
        <v>642.04999999999995</v>
      </c>
      <c r="E76" s="27" t="s">
        <v>3324</v>
      </c>
      <c r="F76" s="27"/>
    </row>
    <row r="77" spans="1:6" x14ac:dyDescent="0.3">
      <c r="A77" s="27" t="s">
        <v>265</v>
      </c>
      <c r="B77" s="27" t="s">
        <v>11</v>
      </c>
      <c r="C77">
        <v>44</v>
      </c>
      <c r="D77">
        <v>46.6</v>
      </c>
      <c r="E77" s="27" t="s">
        <v>3324</v>
      </c>
      <c r="F77" s="27"/>
    </row>
    <row r="78" spans="1:6" x14ac:dyDescent="0.3">
      <c r="A78" s="27" t="s">
        <v>644</v>
      </c>
      <c r="B78" s="27" t="s">
        <v>33</v>
      </c>
      <c r="C78">
        <v>85.05</v>
      </c>
      <c r="D78">
        <v>90</v>
      </c>
      <c r="E78" s="27" t="s">
        <v>3325</v>
      </c>
      <c r="F78" s="27"/>
    </row>
    <row r="79" spans="1:6" x14ac:dyDescent="0.3">
      <c r="A79" s="27" t="s">
        <v>274</v>
      </c>
      <c r="B79" s="27" t="s">
        <v>10</v>
      </c>
      <c r="C79">
        <v>131.15</v>
      </c>
      <c r="D79">
        <v>138.69999999999999</v>
      </c>
      <c r="E79" s="27" t="s">
        <v>275</v>
      </c>
      <c r="F79" s="27"/>
    </row>
    <row r="80" spans="1:6" x14ac:dyDescent="0.3">
      <c r="A80" s="27" t="s">
        <v>276</v>
      </c>
      <c r="B80" s="27" t="s">
        <v>33</v>
      </c>
      <c r="C80">
        <v>75.650000000000006</v>
      </c>
      <c r="D80">
        <v>80</v>
      </c>
      <c r="E80" s="27" t="s">
        <v>277</v>
      </c>
      <c r="F80" s="27"/>
    </row>
    <row r="81" spans="1:6" x14ac:dyDescent="0.3">
      <c r="A81" s="27" t="s">
        <v>279</v>
      </c>
      <c r="B81" s="27" t="s">
        <v>11</v>
      </c>
      <c r="C81">
        <v>74.45</v>
      </c>
      <c r="D81">
        <v>78.7</v>
      </c>
      <c r="E81" s="27" t="s">
        <v>280</v>
      </c>
      <c r="F81" s="27"/>
    </row>
    <row r="82" spans="1:6" x14ac:dyDescent="0.3">
      <c r="A82" s="27" t="s">
        <v>305</v>
      </c>
      <c r="B82" s="27" t="s">
        <v>33</v>
      </c>
      <c r="C82">
        <v>154.80000000000001</v>
      </c>
      <c r="D82">
        <v>163.5</v>
      </c>
      <c r="E82" s="27" t="s">
        <v>3326</v>
      </c>
      <c r="F82" s="27"/>
    </row>
    <row r="83" spans="1:6" x14ac:dyDescent="0.3">
      <c r="A83" s="27" t="s">
        <v>326</v>
      </c>
      <c r="B83" s="27" t="s">
        <v>11</v>
      </c>
      <c r="C83">
        <v>107.7</v>
      </c>
      <c r="D83">
        <v>113.75</v>
      </c>
      <c r="E83" s="27" t="s">
        <v>3326</v>
      </c>
      <c r="F83" s="27"/>
    </row>
    <row r="84" spans="1:6" x14ac:dyDescent="0.3">
      <c r="A84" s="27" t="s">
        <v>282</v>
      </c>
      <c r="B84" s="27" t="s">
        <v>11</v>
      </c>
      <c r="C84">
        <v>708.7</v>
      </c>
      <c r="D84">
        <v>748</v>
      </c>
      <c r="E84" s="27" t="s">
        <v>283</v>
      </c>
      <c r="F84" s="27"/>
    </row>
    <row r="85" spans="1:6" x14ac:dyDescent="0.3">
      <c r="A85" s="27" t="s">
        <v>284</v>
      </c>
      <c r="B85" s="27" t="s">
        <v>11</v>
      </c>
      <c r="C85">
        <v>18.95</v>
      </c>
      <c r="D85">
        <v>20</v>
      </c>
      <c r="E85" s="27" t="s">
        <v>285</v>
      </c>
      <c r="F85" s="27"/>
    </row>
    <row r="86" spans="1:6" x14ac:dyDescent="0.3">
      <c r="A86" s="27" t="s">
        <v>271</v>
      </c>
      <c r="B86" s="27" t="s">
        <v>10</v>
      </c>
      <c r="C86">
        <v>57.2</v>
      </c>
      <c r="D86">
        <v>60.35</v>
      </c>
      <c r="E86" s="27" t="s">
        <v>3327</v>
      </c>
      <c r="F86" s="27"/>
    </row>
    <row r="87" spans="1:6" x14ac:dyDescent="0.3">
      <c r="A87" s="27" t="s">
        <v>288</v>
      </c>
      <c r="B87" s="27" t="s">
        <v>33</v>
      </c>
      <c r="C87">
        <v>819.05</v>
      </c>
      <c r="D87">
        <v>864</v>
      </c>
      <c r="E87" s="27" t="s">
        <v>289</v>
      </c>
      <c r="F87" s="27"/>
    </row>
    <row r="88" spans="1:6" x14ac:dyDescent="0.3">
      <c r="A88" s="27" t="s">
        <v>291</v>
      </c>
      <c r="B88" s="27" t="s">
        <v>10</v>
      </c>
      <c r="C88">
        <v>406.05</v>
      </c>
      <c r="D88">
        <v>428.15</v>
      </c>
      <c r="E88" s="27" t="s">
        <v>292</v>
      </c>
      <c r="F88" s="27"/>
    </row>
    <row r="89" spans="1:6" x14ac:dyDescent="0.3">
      <c r="A89" s="27" t="s">
        <v>294</v>
      </c>
      <c r="B89" s="27" t="s">
        <v>11</v>
      </c>
      <c r="C89">
        <v>9.39</v>
      </c>
      <c r="D89">
        <v>9.9</v>
      </c>
      <c r="E89" s="27" t="s">
        <v>295</v>
      </c>
      <c r="F89" s="27"/>
    </row>
    <row r="90" spans="1:6" x14ac:dyDescent="0.3">
      <c r="A90" s="27" t="s">
        <v>281</v>
      </c>
      <c r="B90" s="27" t="s">
        <v>10</v>
      </c>
      <c r="C90">
        <v>71.900000000000006</v>
      </c>
      <c r="D90">
        <v>75.8</v>
      </c>
      <c r="E90" s="27" t="s">
        <v>3328</v>
      </c>
      <c r="F90" s="27"/>
    </row>
    <row r="91" spans="1:6" x14ac:dyDescent="0.3">
      <c r="A91" s="27" t="s">
        <v>296</v>
      </c>
      <c r="B91" s="27" t="s">
        <v>11</v>
      </c>
      <c r="C91">
        <v>89.65</v>
      </c>
      <c r="D91">
        <v>94.5</v>
      </c>
      <c r="E91" s="27" t="s">
        <v>297</v>
      </c>
      <c r="F91" s="27"/>
    </row>
    <row r="92" spans="1:6" x14ac:dyDescent="0.3">
      <c r="A92" s="27" t="s">
        <v>298</v>
      </c>
      <c r="B92" s="27" t="s">
        <v>11</v>
      </c>
      <c r="C92">
        <v>114.25</v>
      </c>
      <c r="D92">
        <v>120.4</v>
      </c>
      <c r="E92" s="27" t="s">
        <v>299</v>
      </c>
      <c r="F92" s="27"/>
    </row>
    <row r="93" spans="1:6" x14ac:dyDescent="0.3">
      <c r="A93" s="27" t="s">
        <v>302</v>
      </c>
      <c r="B93" s="27" t="s">
        <v>33</v>
      </c>
      <c r="C93">
        <v>830.8</v>
      </c>
      <c r="D93">
        <v>875</v>
      </c>
      <c r="E93" s="27" t="s">
        <v>303</v>
      </c>
      <c r="F93" s="27"/>
    </row>
    <row r="94" spans="1:6" x14ac:dyDescent="0.3">
      <c r="A94" s="27" t="s">
        <v>306</v>
      </c>
      <c r="B94" s="27" t="s">
        <v>33</v>
      </c>
      <c r="C94">
        <v>10.01</v>
      </c>
      <c r="D94">
        <v>10.54</v>
      </c>
      <c r="E94" s="27" t="s">
        <v>307</v>
      </c>
      <c r="F94" s="27"/>
    </row>
    <row r="95" spans="1:6" x14ac:dyDescent="0.3">
      <c r="A95" s="27" t="s">
        <v>316</v>
      </c>
      <c r="B95" s="27" t="s">
        <v>10</v>
      </c>
      <c r="C95">
        <v>84.2</v>
      </c>
      <c r="D95">
        <v>88.65</v>
      </c>
      <c r="E95" s="27" t="s">
        <v>307</v>
      </c>
      <c r="F95" s="27"/>
    </row>
    <row r="96" spans="1:6" x14ac:dyDescent="0.3">
      <c r="A96" s="27" t="s">
        <v>309</v>
      </c>
      <c r="B96" s="27" t="s">
        <v>22</v>
      </c>
      <c r="C96">
        <v>168</v>
      </c>
      <c r="D96">
        <v>176.8</v>
      </c>
      <c r="E96" s="27" t="s">
        <v>310</v>
      </c>
      <c r="F96" s="27"/>
    </row>
    <row r="97" spans="1:6" x14ac:dyDescent="0.3">
      <c r="A97" s="27" t="s">
        <v>440</v>
      </c>
      <c r="B97" s="27" t="s">
        <v>10</v>
      </c>
      <c r="C97">
        <v>959.2</v>
      </c>
      <c r="D97">
        <v>1009.4</v>
      </c>
      <c r="E97" s="27" t="s">
        <v>3329</v>
      </c>
      <c r="F97" s="27"/>
    </row>
    <row r="98" spans="1:6" x14ac:dyDescent="0.3">
      <c r="A98" s="27" t="s">
        <v>313</v>
      </c>
      <c r="B98" s="27" t="s">
        <v>10</v>
      </c>
      <c r="C98">
        <v>130.1</v>
      </c>
      <c r="D98">
        <v>136.9</v>
      </c>
      <c r="E98" s="27" t="s">
        <v>3329</v>
      </c>
      <c r="F98" s="27"/>
    </row>
    <row r="99" spans="1:6" x14ac:dyDescent="0.3">
      <c r="A99" s="27" t="s">
        <v>311</v>
      </c>
      <c r="B99" s="27" t="s">
        <v>11</v>
      </c>
      <c r="C99">
        <v>228</v>
      </c>
      <c r="D99">
        <v>239.85</v>
      </c>
      <c r="E99" s="27" t="s">
        <v>312</v>
      </c>
      <c r="F99" s="27"/>
    </row>
    <row r="100" spans="1:6" x14ac:dyDescent="0.3">
      <c r="A100" s="27" t="s">
        <v>287</v>
      </c>
      <c r="B100" s="27" t="s">
        <v>10</v>
      </c>
      <c r="C100">
        <v>15.26</v>
      </c>
      <c r="D100">
        <v>16.05</v>
      </c>
      <c r="E100" s="27" t="s">
        <v>3330</v>
      </c>
      <c r="F100" s="27"/>
    </row>
    <row r="101" spans="1:6" x14ac:dyDescent="0.3">
      <c r="A101" s="27" t="s">
        <v>452</v>
      </c>
      <c r="B101" s="27" t="s">
        <v>11</v>
      </c>
      <c r="C101">
        <v>23.35</v>
      </c>
      <c r="D101">
        <v>24.55</v>
      </c>
      <c r="E101" s="27" t="s">
        <v>3331</v>
      </c>
      <c r="F101" s="27"/>
    </row>
    <row r="102" spans="1:6" x14ac:dyDescent="0.3">
      <c r="A102" s="27" t="s">
        <v>314</v>
      </c>
      <c r="B102" s="27" t="s">
        <v>33</v>
      </c>
      <c r="C102">
        <v>89.65</v>
      </c>
      <c r="D102">
        <v>94.25</v>
      </c>
      <c r="E102" s="27" t="s">
        <v>315</v>
      </c>
      <c r="F102" s="27"/>
    </row>
    <row r="103" spans="1:6" x14ac:dyDescent="0.3">
      <c r="A103" s="27" t="s">
        <v>308</v>
      </c>
      <c r="B103" s="27" t="s">
        <v>33</v>
      </c>
      <c r="C103">
        <v>160.19999999999999</v>
      </c>
      <c r="D103">
        <v>168.4</v>
      </c>
      <c r="E103" s="27" t="s">
        <v>3332</v>
      </c>
      <c r="F103" s="27"/>
    </row>
    <row r="104" spans="1:6" x14ac:dyDescent="0.3">
      <c r="A104" s="27" t="s">
        <v>304</v>
      </c>
      <c r="B104" s="27" t="s">
        <v>11</v>
      </c>
      <c r="C104">
        <v>21.6</v>
      </c>
      <c r="D104">
        <v>22.7</v>
      </c>
      <c r="E104" s="27" t="s">
        <v>319</v>
      </c>
      <c r="F104" s="27"/>
    </row>
    <row r="105" spans="1:6" x14ac:dyDescent="0.3">
      <c r="A105" s="27" t="s">
        <v>321</v>
      </c>
      <c r="B105" s="27" t="s">
        <v>11</v>
      </c>
      <c r="C105">
        <v>127</v>
      </c>
      <c r="D105">
        <v>133.44999999999999</v>
      </c>
      <c r="E105" s="27" t="s">
        <v>322</v>
      </c>
      <c r="F105" s="27"/>
    </row>
    <row r="106" spans="1:6" x14ac:dyDescent="0.3">
      <c r="A106" s="27" t="s">
        <v>323</v>
      </c>
      <c r="B106" s="27" t="s">
        <v>22</v>
      </c>
      <c r="C106">
        <v>7.28</v>
      </c>
      <c r="D106">
        <v>7.65</v>
      </c>
      <c r="E106" s="27" t="s">
        <v>322</v>
      </c>
      <c r="F106" s="27"/>
    </row>
    <row r="107" spans="1:6" x14ac:dyDescent="0.3">
      <c r="A107" s="27" t="s">
        <v>865</v>
      </c>
      <c r="B107" s="27" t="s">
        <v>11</v>
      </c>
      <c r="C107">
        <v>187.5</v>
      </c>
      <c r="D107">
        <v>197</v>
      </c>
      <c r="E107" s="27" t="s">
        <v>3333</v>
      </c>
      <c r="F107" s="27"/>
    </row>
    <row r="108" spans="1:6" x14ac:dyDescent="0.3">
      <c r="A108" s="27" t="s">
        <v>293</v>
      </c>
      <c r="B108" s="27" t="s">
        <v>29</v>
      </c>
      <c r="C108">
        <v>78.099999999999994</v>
      </c>
      <c r="D108">
        <v>82.05</v>
      </c>
      <c r="E108" s="27" t="s">
        <v>3334</v>
      </c>
      <c r="F108" s="27"/>
    </row>
    <row r="109" spans="1:6" x14ac:dyDescent="0.3">
      <c r="A109" s="27" t="s">
        <v>1082</v>
      </c>
      <c r="B109" s="27" t="s">
        <v>33</v>
      </c>
      <c r="C109">
        <v>78.05</v>
      </c>
      <c r="D109">
        <v>82</v>
      </c>
      <c r="E109" s="27" t="s">
        <v>3334</v>
      </c>
      <c r="F109" s="27"/>
    </row>
    <row r="110" spans="1:6" x14ac:dyDescent="0.3">
      <c r="A110" s="27" t="s">
        <v>324</v>
      </c>
      <c r="B110" s="27" t="s">
        <v>10</v>
      </c>
      <c r="C110">
        <v>93.3</v>
      </c>
      <c r="D110">
        <v>98</v>
      </c>
      <c r="E110" s="27" t="s">
        <v>325</v>
      </c>
      <c r="F110" s="27"/>
    </row>
    <row r="111" spans="1:6" x14ac:dyDescent="0.3">
      <c r="A111" s="27" t="s">
        <v>300</v>
      </c>
      <c r="B111" s="27" t="s">
        <v>10</v>
      </c>
      <c r="C111">
        <v>80.3</v>
      </c>
      <c r="D111">
        <v>84.35</v>
      </c>
      <c r="E111" s="27" t="s">
        <v>325</v>
      </c>
      <c r="F111" s="27"/>
    </row>
    <row r="112" spans="1:6" x14ac:dyDescent="0.3">
      <c r="A112" s="27" t="s">
        <v>359</v>
      </c>
      <c r="B112" s="27" t="s">
        <v>328</v>
      </c>
      <c r="C112">
        <v>11.6</v>
      </c>
      <c r="D112">
        <v>12.18</v>
      </c>
      <c r="E112" s="27" t="s">
        <v>329</v>
      </c>
      <c r="F112" s="27"/>
    </row>
    <row r="113" spans="1:6" x14ac:dyDescent="0.3">
      <c r="A113" s="27" t="s">
        <v>327</v>
      </c>
      <c r="B113" s="27" t="s">
        <v>328</v>
      </c>
      <c r="C113">
        <v>10</v>
      </c>
      <c r="D113">
        <v>10.5</v>
      </c>
      <c r="E113" s="27" t="s">
        <v>329</v>
      </c>
      <c r="F113" s="27"/>
    </row>
    <row r="114" spans="1:6" x14ac:dyDescent="0.3">
      <c r="A114" s="27" t="s">
        <v>330</v>
      </c>
      <c r="B114" s="27" t="s">
        <v>33</v>
      </c>
      <c r="C114">
        <v>33</v>
      </c>
      <c r="D114">
        <v>34.65</v>
      </c>
      <c r="E114" s="27" t="s">
        <v>329</v>
      </c>
      <c r="F114" s="27"/>
    </row>
    <row r="115" spans="1:6" x14ac:dyDescent="0.3">
      <c r="A115" s="27" t="s">
        <v>331</v>
      </c>
      <c r="B115" s="27" t="s">
        <v>328</v>
      </c>
      <c r="C115">
        <v>3.4</v>
      </c>
      <c r="D115">
        <v>3.57</v>
      </c>
      <c r="E115" s="27" t="s">
        <v>329</v>
      </c>
      <c r="F115" s="27"/>
    </row>
    <row r="116" spans="1:6" x14ac:dyDescent="0.3">
      <c r="A116" s="27" t="s">
        <v>332</v>
      </c>
      <c r="B116" s="27" t="s">
        <v>33</v>
      </c>
      <c r="C116">
        <v>140</v>
      </c>
      <c r="D116">
        <v>147</v>
      </c>
      <c r="E116" s="27" t="s">
        <v>329</v>
      </c>
      <c r="F116" s="27"/>
    </row>
    <row r="117" spans="1:6" x14ac:dyDescent="0.3">
      <c r="A117" s="27" t="s">
        <v>334</v>
      </c>
      <c r="B117" s="27" t="s">
        <v>328</v>
      </c>
      <c r="C117">
        <v>3.6</v>
      </c>
      <c r="D117">
        <v>3.78</v>
      </c>
      <c r="E117" s="27" t="s">
        <v>329</v>
      </c>
      <c r="F117" s="27"/>
    </row>
    <row r="118" spans="1:6" x14ac:dyDescent="0.3">
      <c r="A118" s="27" t="s">
        <v>335</v>
      </c>
      <c r="B118" s="27" t="s">
        <v>33</v>
      </c>
      <c r="C118">
        <v>50</v>
      </c>
      <c r="D118">
        <v>52.5</v>
      </c>
      <c r="E118" s="27" t="s">
        <v>329</v>
      </c>
      <c r="F118" s="27"/>
    </row>
    <row r="119" spans="1:6" x14ac:dyDescent="0.3">
      <c r="A119" s="27" t="s">
        <v>336</v>
      </c>
      <c r="B119" s="27" t="s">
        <v>33</v>
      </c>
      <c r="C119">
        <v>10</v>
      </c>
      <c r="D119">
        <v>10.5</v>
      </c>
      <c r="E119" s="27" t="s">
        <v>329</v>
      </c>
      <c r="F119" s="27"/>
    </row>
    <row r="120" spans="1:6" x14ac:dyDescent="0.3">
      <c r="A120" s="27" t="s">
        <v>338</v>
      </c>
      <c r="B120" s="27" t="s">
        <v>33</v>
      </c>
      <c r="C120">
        <v>58.05</v>
      </c>
      <c r="D120">
        <v>60.95</v>
      </c>
      <c r="E120" s="27" t="s">
        <v>329</v>
      </c>
      <c r="F120" s="27"/>
    </row>
    <row r="121" spans="1:6" x14ac:dyDescent="0.3">
      <c r="A121" s="27" t="s">
        <v>341</v>
      </c>
      <c r="B121" s="27" t="s">
        <v>29</v>
      </c>
      <c r="C121">
        <v>668.25</v>
      </c>
      <c r="D121">
        <v>701.65</v>
      </c>
      <c r="E121" s="27" t="s">
        <v>329</v>
      </c>
      <c r="F121" s="27"/>
    </row>
    <row r="122" spans="1:6" x14ac:dyDescent="0.3">
      <c r="A122" s="27" t="s">
        <v>339</v>
      </c>
      <c r="B122" s="27" t="s">
        <v>328</v>
      </c>
      <c r="C122">
        <v>4.2</v>
      </c>
      <c r="D122">
        <v>4.41</v>
      </c>
      <c r="E122" s="27" t="s">
        <v>329</v>
      </c>
      <c r="F122" s="27"/>
    </row>
    <row r="123" spans="1:6" x14ac:dyDescent="0.3">
      <c r="A123" s="27" t="s">
        <v>356</v>
      </c>
      <c r="B123" s="27" t="s">
        <v>33</v>
      </c>
      <c r="C123">
        <v>1.2</v>
      </c>
      <c r="D123">
        <v>1.26</v>
      </c>
      <c r="E123" s="27" t="s">
        <v>329</v>
      </c>
      <c r="F123" s="27"/>
    </row>
    <row r="124" spans="1:6" x14ac:dyDescent="0.3">
      <c r="A124" s="27" t="s">
        <v>348</v>
      </c>
      <c r="B124" s="27" t="s">
        <v>11</v>
      </c>
      <c r="C124">
        <v>159.15</v>
      </c>
      <c r="D124">
        <v>167.1</v>
      </c>
      <c r="E124" s="27" t="s">
        <v>329</v>
      </c>
      <c r="F124" s="27"/>
    </row>
    <row r="125" spans="1:6" x14ac:dyDescent="0.3">
      <c r="A125" s="27" t="s">
        <v>342</v>
      </c>
      <c r="B125" s="27" t="s">
        <v>29</v>
      </c>
      <c r="C125">
        <v>77.05</v>
      </c>
      <c r="D125">
        <v>80.900000000000006</v>
      </c>
      <c r="E125" s="27" t="s">
        <v>329</v>
      </c>
      <c r="F125" s="27"/>
    </row>
    <row r="126" spans="1:6" x14ac:dyDescent="0.3">
      <c r="A126" s="27" t="s">
        <v>340</v>
      </c>
      <c r="B126" s="27" t="s">
        <v>35</v>
      </c>
      <c r="C126">
        <v>0.6</v>
      </c>
      <c r="D126">
        <v>0.63</v>
      </c>
      <c r="E126" s="27" t="s">
        <v>329</v>
      </c>
      <c r="F126" s="27"/>
    </row>
    <row r="127" spans="1:6" x14ac:dyDescent="0.3">
      <c r="A127" s="27" t="s">
        <v>344</v>
      </c>
      <c r="B127" s="27" t="s">
        <v>29</v>
      </c>
      <c r="C127">
        <v>5</v>
      </c>
      <c r="D127">
        <v>5.25</v>
      </c>
      <c r="E127" s="27" t="s">
        <v>329</v>
      </c>
      <c r="F127" s="27"/>
    </row>
    <row r="128" spans="1:6" x14ac:dyDescent="0.3">
      <c r="A128" s="27" t="s">
        <v>587</v>
      </c>
      <c r="B128" s="27" t="s">
        <v>10</v>
      </c>
      <c r="C128">
        <v>1026</v>
      </c>
      <c r="D128">
        <v>1077.3</v>
      </c>
      <c r="E128" s="27" t="s">
        <v>329</v>
      </c>
      <c r="F128" s="27"/>
    </row>
    <row r="129" spans="1:6" x14ac:dyDescent="0.3">
      <c r="A129" s="27" t="s">
        <v>346</v>
      </c>
      <c r="B129" s="27" t="s">
        <v>328</v>
      </c>
      <c r="C129">
        <v>1.6</v>
      </c>
      <c r="D129">
        <v>1.68</v>
      </c>
      <c r="E129" s="27" t="s">
        <v>329</v>
      </c>
      <c r="F129" s="27"/>
    </row>
    <row r="130" spans="1:6" x14ac:dyDescent="0.3">
      <c r="A130" s="27" t="s">
        <v>616</v>
      </c>
      <c r="B130" s="27" t="s">
        <v>10</v>
      </c>
      <c r="C130">
        <v>153.05000000000001</v>
      </c>
      <c r="D130">
        <v>160.69999999999999</v>
      </c>
      <c r="E130" s="27" t="s">
        <v>329</v>
      </c>
      <c r="F130" s="27"/>
    </row>
    <row r="131" spans="1:6" x14ac:dyDescent="0.3">
      <c r="A131" s="27" t="s">
        <v>347</v>
      </c>
      <c r="B131" s="27" t="s">
        <v>33</v>
      </c>
      <c r="C131">
        <v>16</v>
      </c>
      <c r="D131">
        <v>16.8</v>
      </c>
      <c r="E131" s="27" t="s">
        <v>329</v>
      </c>
      <c r="F131" s="27"/>
    </row>
    <row r="132" spans="1:6" x14ac:dyDescent="0.3">
      <c r="A132" s="27" t="s">
        <v>333</v>
      </c>
      <c r="B132" s="27" t="s">
        <v>33</v>
      </c>
      <c r="C132">
        <v>0.6</v>
      </c>
      <c r="D132">
        <v>0.63</v>
      </c>
      <c r="E132" s="27" t="s">
        <v>329</v>
      </c>
      <c r="F132" s="27"/>
    </row>
    <row r="133" spans="1:6" x14ac:dyDescent="0.3">
      <c r="A133" s="27" t="s">
        <v>355</v>
      </c>
      <c r="B133" s="27" t="s">
        <v>328</v>
      </c>
      <c r="C133">
        <v>60</v>
      </c>
      <c r="D133">
        <v>63</v>
      </c>
      <c r="E133" s="27" t="s">
        <v>329</v>
      </c>
      <c r="F133" s="27"/>
    </row>
    <row r="134" spans="1:6" x14ac:dyDescent="0.3">
      <c r="A134" s="27" t="s">
        <v>349</v>
      </c>
      <c r="B134" s="27" t="s">
        <v>328</v>
      </c>
      <c r="C134">
        <v>10.41</v>
      </c>
      <c r="D134">
        <v>10.93</v>
      </c>
      <c r="E134" s="27" t="s">
        <v>329</v>
      </c>
      <c r="F134" s="27"/>
    </row>
    <row r="135" spans="1:6" x14ac:dyDescent="0.3">
      <c r="A135" s="27" t="s">
        <v>351</v>
      </c>
      <c r="B135" s="27" t="s">
        <v>33</v>
      </c>
      <c r="C135">
        <v>0.6</v>
      </c>
      <c r="D135">
        <v>0.63</v>
      </c>
      <c r="E135" s="27" t="s">
        <v>329</v>
      </c>
      <c r="F135" s="27"/>
    </row>
    <row r="136" spans="1:6" x14ac:dyDescent="0.3">
      <c r="A136" s="27" t="s">
        <v>354</v>
      </c>
      <c r="B136" s="27" t="s">
        <v>10</v>
      </c>
      <c r="C136">
        <v>31</v>
      </c>
      <c r="D136">
        <v>32.549999999999997</v>
      </c>
      <c r="E136" s="27" t="s">
        <v>329</v>
      </c>
      <c r="F136" s="27"/>
    </row>
    <row r="137" spans="1:6" x14ac:dyDescent="0.3">
      <c r="A137" s="27" t="s">
        <v>358</v>
      </c>
      <c r="B137" s="27" t="s">
        <v>11</v>
      </c>
      <c r="C137">
        <v>919.5</v>
      </c>
      <c r="D137">
        <v>965.45</v>
      </c>
      <c r="E137" s="27" t="s">
        <v>329</v>
      </c>
      <c r="F137" s="27"/>
    </row>
    <row r="138" spans="1:6" x14ac:dyDescent="0.3">
      <c r="A138" s="27" t="s">
        <v>352</v>
      </c>
      <c r="B138" s="27" t="s">
        <v>328</v>
      </c>
      <c r="C138">
        <v>38</v>
      </c>
      <c r="D138">
        <v>39.9</v>
      </c>
      <c r="E138" s="27" t="s">
        <v>329</v>
      </c>
      <c r="F138" s="27"/>
    </row>
    <row r="139" spans="1:6" x14ac:dyDescent="0.3">
      <c r="A139" s="27" t="s">
        <v>353</v>
      </c>
      <c r="B139" s="27" t="s">
        <v>328</v>
      </c>
      <c r="C139">
        <v>12.2</v>
      </c>
      <c r="D139">
        <v>12.81</v>
      </c>
      <c r="E139" s="27" t="s">
        <v>329</v>
      </c>
      <c r="F139" s="27"/>
    </row>
    <row r="140" spans="1:6" x14ac:dyDescent="0.3">
      <c r="A140" s="27" t="s">
        <v>343</v>
      </c>
      <c r="B140" s="27" t="s">
        <v>33</v>
      </c>
      <c r="C140">
        <v>15.8</v>
      </c>
      <c r="D140">
        <v>16.59</v>
      </c>
      <c r="E140" s="27" t="s">
        <v>329</v>
      </c>
      <c r="F140" s="27"/>
    </row>
    <row r="141" spans="1:6" x14ac:dyDescent="0.3">
      <c r="A141" s="27" t="s">
        <v>345</v>
      </c>
      <c r="B141" s="27" t="s">
        <v>33</v>
      </c>
      <c r="C141">
        <v>10.4</v>
      </c>
      <c r="D141">
        <v>10.92</v>
      </c>
      <c r="E141" s="27" t="s">
        <v>329</v>
      </c>
      <c r="F141" s="27"/>
    </row>
    <row r="142" spans="1:6" x14ac:dyDescent="0.3">
      <c r="A142" s="27" t="s">
        <v>357</v>
      </c>
      <c r="B142" s="27" t="s">
        <v>11</v>
      </c>
      <c r="C142">
        <v>9</v>
      </c>
      <c r="D142">
        <v>9.4499999999999993</v>
      </c>
      <c r="E142" s="27" t="s">
        <v>329</v>
      </c>
      <c r="F142" s="27"/>
    </row>
    <row r="143" spans="1:6" x14ac:dyDescent="0.3">
      <c r="A143" s="27" t="s">
        <v>337</v>
      </c>
      <c r="B143" s="27" t="s">
        <v>10</v>
      </c>
      <c r="C143">
        <v>144</v>
      </c>
      <c r="D143">
        <v>151.19999999999999</v>
      </c>
      <c r="E143" s="27" t="s">
        <v>329</v>
      </c>
      <c r="F143" s="27"/>
    </row>
    <row r="144" spans="1:6" x14ac:dyDescent="0.3">
      <c r="A144" s="27" t="s">
        <v>362</v>
      </c>
      <c r="B144" s="27" t="s">
        <v>29</v>
      </c>
      <c r="C144">
        <v>826.85</v>
      </c>
      <c r="D144">
        <v>868.15</v>
      </c>
      <c r="E144" s="27" t="s">
        <v>361</v>
      </c>
      <c r="F144" s="27"/>
    </row>
    <row r="145" spans="1:6" x14ac:dyDescent="0.3">
      <c r="A145" s="27" t="s">
        <v>360</v>
      </c>
      <c r="B145" s="27" t="s">
        <v>328</v>
      </c>
      <c r="C145">
        <v>57.15</v>
      </c>
      <c r="D145">
        <v>60</v>
      </c>
      <c r="E145" s="27" t="s">
        <v>361</v>
      </c>
      <c r="F145" s="27"/>
    </row>
    <row r="146" spans="1:6" x14ac:dyDescent="0.3">
      <c r="A146" s="27" t="s">
        <v>370</v>
      </c>
      <c r="B146" s="27" t="s">
        <v>33</v>
      </c>
      <c r="C146">
        <v>22.05</v>
      </c>
      <c r="D146">
        <v>23.15</v>
      </c>
      <c r="E146" s="27" t="s">
        <v>361</v>
      </c>
      <c r="F146" s="27"/>
    </row>
    <row r="147" spans="1:6" x14ac:dyDescent="0.3">
      <c r="A147" s="27" t="s">
        <v>371</v>
      </c>
      <c r="B147" s="27" t="s">
        <v>35</v>
      </c>
      <c r="C147">
        <v>386.45</v>
      </c>
      <c r="D147">
        <v>405.75</v>
      </c>
      <c r="E147" s="27" t="s">
        <v>361</v>
      </c>
      <c r="F147" s="27"/>
    </row>
    <row r="148" spans="1:6" x14ac:dyDescent="0.3">
      <c r="A148" s="27" t="s">
        <v>363</v>
      </c>
      <c r="B148" s="27" t="s">
        <v>11</v>
      </c>
      <c r="C148">
        <v>61.15</v>
      </c>
      <c r="D148">
        <v>64.2</v>
      </c>
      <c r="E148" s="27" t="s">
        <v>361</v>
      </c>
      <c r="F148" s="27"/>
    </row>
    <row r="149" spans="1:6" x14ac:dyDescent="0.3">
      <c r="A149" s="27" t="s">
        <v>372</v>
      </c>
      <c r="B149" s="27" t="s">
        <v>11</v>
      </c>
      <c r="C149">
        <v>168.2</v>
      </c>
      <c r="D149">
        <v>176.6</v>
      </c>
      <c r="E149" s="27" t="s">
        <v>361</v>
      </c>
      <c r="F149" s="27"/>
    </row>
    <row r="150" spans="1:6" x14ac:dyDescent="0.3">
      <c r="A150" s="27" t="s">
        <v>375</v>
      </c>
      <c r="B150" s="27" t="s">
        <v>10</v>
      </c>
      <c r="C150">
        <v>44.05</v>
      </c>
      <c r="D150">
        <v>46.25</v>
      </c>
      <c r="E150" s="27" t="s">
        <v>361</v>
      </c>
      <c r="F150" s="27"/>
    </row>
    <row r="151" spans="1:6" x14ac:dyDescent="0.3">
      <c r="A151" s="27" t="s">
        <v>378</v>
      </c>
      <c r="B151" s="27" t="s">
        <v>328</v>
      </c>
      <c r="C151">
        <v>47.05</v>
      </c>
      <c r="D151">
        <v>49.4</v>
      </c>
      <c r="E151" s="27" t="s">
        <v>361</v>
      </c>
      <c r="F151" s="27"/>
    </row>
    <row r="152" spans="1:6" x14ac:dyDescent="0.3">
      <c r="A152" s="27" t="s">
        <v>379</v>
      </c>
      <c r="B152" s="27" t="s">
        <v>33</v>
      </c>
      <c r="C152">
        <v>91.1</v>
      </c>
      <c r="D152">
        <v>95.65</v>
      </c>
      <c r="E152" s="27" t="s">
        <v>361</v>
      </c>
      <c r="F152" s="27"/>
    </row>
    <row r="153" spans="1:6" x14ac:dyDescent="0.3">
      <c r="A153" s="27" t="s">
        <v>377</v>
      </c>
      <c r="B153" s="27" t="s">
        <v>29</v>
      </c>
      <c r="C153">
        <v>397.9</v>
      </c>
      <c r="D153">
        <v>417.75</v>
      </c>
      <c r="E153" s="27" t="s">
        <v>361</v>
      </c>
      <c r="F153" s="27"/>
    </row>
    <row r="154" spans="1:6" x14ac:dyDescent="0.3">
      <c r="A154" s="27" t="s">
        <v>373</v>
      </c>
      <c r="B154" s="27" t="s">
        <v>33</v>
      </c>
      <c r="C154">
        <v>5.81</v>
      </c>
      <c r="D154">
        <v>6.1</v>
      </c>
      <c r="E154" s="27" t="s">
        <v>361</v>
      </c>
      <c r="F154" s="27"/>
    </row>
    <row r="155" spans="1:6" x14ac:dyDescent="0.3">
      <c r="A155" s="27" t="s">
        <v>365</v>
      </c>
      <c r="B155" s="27" t="s">
        <v>33</v>
      </c>
      <c r="C155">
        <v>299.45</v>
      </c>
      <c r="D155">
        <v>314.39999999999998</v>
      </c>
      <c r="E155" s="27" t="s">
        <v>361</v>
      </c>
      <c r="F155" s="27"/>
    </row>
    <row r="156" spans="1:6" x14ac:dyDescent="0.3">
      <c r="A156" s="27" t="s">
        <v>374</v>
      </c>
      <c r="B156" s="27" t="s">
        <v>33</v>
      </c>
      <c r="C156">
        <v>7.22</v>
      </c>
      <c r="D156">
        <v>7.58</v>
      </c>
      <c r="E156" s="27" t="s">
        <v>361</v>
      </c>
      <c r="F156" s="27"/>
    </row>
    <row r="157" spans="1:6" x14ac:dyDescent="0.3">
      <c r="A157" s="27" t="s">
        <v>369</v>
      </c>
      <c r="B157" s="27" t="s">
        <v>11</v>
      </c>
      <c r="C157">
        <v>10.83</v>
      </c>
      <c r="D157">
        <v>11.37</v>
      </c>
      <c r="E157" s="27" t="s">
        <v>361</v>
      </c>
      <c r="F157" s="27"/>
    </row>
    <row r="158" spans="1:6" x14ac:dyDescent="0.3">
      <c r="A158" s="27" t="s">
        <v>376</v>
      </c>
      <c r="B158" s="27" t="s">
        <v>29</v>
      </c>
      <c r="C158">
        <v>118.25</v>
      </c>
      <c r="D158">
        <v>124.15</v>
      </c>
      <c r="E158" s="27" t="s">
        <v>361</v>
      </c>
      <c r="F158" s="27"/>
    </row>
    <row r="159" spans="1:6" x14ac:dyDescent="0.3">
      <c r="A159" s="27" t="s">
        <v>368</v>
      </c>
      <c r="B159" s="27" t="s">
        <v>29</v>
      </c>
      <c r="C159">
        <v>14.82</v>
      </c>
      <c r="D159">
        <v>15.56</v>
      </c>
      <c r="E159" s="27" t="s">
        <v>361</v>
      </c>
      <c r="F159" s="27"/>
    </row>
    <row r="160" spans="1:6" x14ac:dyDescent="0.3">
      <c r="A160" s="27" t="s">
        <v>367</v>
      </c>
      <c r="B160" s="27" t="s">
        <v>29</v>
      </c>
      <c r="C160">
        <v>20.05</v>
      </c>
      <c r="D160">
        <v>21.05</v>
      </c>
      <c r="E160" s="27" t="s">
        <v>361</v>
      </c>
      <c r="F160" s="27"/>
    </row>
    <row r="161" spans="1:6" x14ac:dyDescent="0.3">
      <c r="A161" s="27" t="s">
        <v>366</v>
      </c>
      <c r="B161" s="27" t="s">
        <v>11</v>
      </c>
      <c r="C161">
        <v>221.45</v>
      </c>
      <c r="D161">
        <v>232.5</v>
      </c>
      <c r="E161" s="27" t="s">
        <v>361</v>
      </c>
      <c r="F161" s="27"/>
    </row>
    <row r="162" spans="1:6" x14ac:dyDescent="0.3">
      <c r="A162" s="27" t="s">
        <v>364</v>
      </c>
      <c r="B162" s="27" t="s">
        <v>10</v>
      </c>
      <c r="C162">
        <v>379.5</v>
      </c>
      <c r="D162">
        <v>398.45</v>
      </c>
      <c r="E162" s="27" t="s">
        <v>361</v>
      </c>
      <c r="F162" s="27"/>
    </row>
    <row r="163" spans="1:6" x14ac:dyDescent="0.3">
      <c r="A163" s="27" t="s">
        <v>380</v>
      </c>
      <c r="B163" s="27" t="s">
        <v>11</v>
      </c>
      <c r="C163">
        <v>182.45</v>
      </c>
      <c r="D163">
        <v>191.55</v>
      </c>
      <c r="E163" s="27" t="s">
        <v>361</v>
      </c>
      <c r="F163" s="27"/>
    </row>
    <row r="164" spans="1:6" x14ac:dyDescent="0.3">
      <c r="A164" s="27" t="s">
        <v>301</v>
      </c>
      <c r="B164" s="27" t="s">
        <v>10</v>
      </c>
      <c r="C164">
        <v>1443</v>
      </c>
      <c r="D164">
        <v>1515.05</v>
      </c>
      <c r="E164" s="27" t="s">
        <v>361</v>
      </c>
      <c r="F164" s="27"/>
    </row>
    <row r="165" spans="1:6" x14ac:dyDescent="0.3">
      <c r="A165" s="27" t="s">
        <v>968</v>
      </c>
      <c r="B165" s="27" t="s">
        <v>11</v>
      </c>
      <c r="C165">
        <v>87.4</v>
      </c>
      <c r="D165">
        <v>91.75</v>
      </c>
      <c r="E165" s="27" t="s">
        <v>382</v>
      </c>
      <c r="F165" s="27"/>
    </row>
    <row r="166" spans="1:6" x14ac:dyDescent="0.3">
      <c r="A166" s="27" t="s">
        <v>390</v>
      </c>
      <c r="B166" s="27" t="s">
        <v>33</v>
      </c>
      <c r="C166">
        <v>8.84</v>
      </c>
      <c r="D166">
        <v>9.2799999999999994</v>
      </c>
      <c r="E166" s="27" t="s">
        <v>382</v>
      </c>
      <c r="F166" s="27"/>
    </row>
    <row r="167" spans="1:6" x14ac:dyDescent="0.3">
      <c r="A167" s="27" t="s">
        <v>398</v>
      </c>
      <c r="B167" s="27" t="s">
        <v>29</v>
      </c>
      <c r="C167">
        <v>12.84</v>
      </c>
      <c r="D167">
        <v>13.48</v>
      </c>
      <c r="E167" s="27" t="s">
        <v>382</v>
      </c>
      <c r="F167" s="27"/>
    </row>
    <row r="168" spans="1:6" x14ac:dyDescent="0.3">
      <c r="A168" s="27" t="s">
        <v>387</v>
      </c>
      <c r="B168" s="27" t="s">
        <v>11</v>
      </c>
      <c r="C168">
        <v>59.25</v>
      </c>
      <c r="D168">
        <v>62.2</v>
      </c>
      <c r="E168" s="27" t="s">
        <v>382</v>
      </c>
      <c r="F168" s="27"/>
    </row>
    <row r="169" spans="1:6" x14ac:dyDescent="0.3">
      <c r="A169" s="27" t="s">
        <v>392</v>
      </c>
      <c r="B169" s="27" t="s">
        <v>33</v>
      </c>
      <c r="C169">
        <v>180.75</v>
      </c>
      <c r="D169">
        <v>189.75</v>
      </c>
      <c r="E169" s="27" t="s">
        <v>382</v>
      </c>
      <c r="F169" s="27"/>
    </row>
    <row r="170" spans="1:6" x14ac:dyDescent="0.3">
      <c r="A170" s="27" t="s">
        <v>388</v>
      </c>
      <c r="B170" s="27" t="s">
        <v>11</v>
      </c>
      <c r="C170">
        <v>201.8</v>
      </c>
      <c r="D170">
        <v>211.85</v>
      </c>
      <c r="E170" s="27" t="s">
        <v>382</v>
      </c>
      <c r="F170" s="27"/>
    </row>
    <row r="171" spans="1:6" x14ac:dyDescent="0.3">
      <c r="A171" s="27" t="s">
        <v>3335</v>
      </c>
      <c r="B171" s="27" t="s">
        <v>33</v>
      </c>
      <c r="C171">
        <v>2.0099999999999998</v>
      </c>
      <c r="D171">
        <v>2.11</v>
      </c>
      <c r="E171" s="27" t="s">
        <v>382</v>
      </c>
      <c r="F171" s="27"/>
    </row>
    <row r="172" spans="1:6" x14ac:dyDescent="0.3">
      <c r="A172" s="27" t="s">
        <v>386</v>
      </c>
      <c r="B172" s="27" t="s">
        <v>33</v>
      </c>
      <c r="C172">
        <v>101.5</v>
      </c>
      <c r="D172">
        <v>106.55</v>
      </c>
      <c r="E172" s="27" t="s">
        <v>382</v>
      </c>
      <c r="F172" s="27"/>
    </row>
    <row r="173" spans="1:6" x14ac:dyDescent="0.3">
      <c r="A173" s="27" t="s">
        <v>385</v>
      </c>
      <c r="B173" s="27" t="s">
        <v>11</v>
      </c>
      <c r="C173">
        <v>9.0399999999999991</v>
      </c>
      <c r="D173">
        <v>9.49</v>
      </c>
      <c r="E173" s="27" t="s">
        <v>382</v>
      </c>
      <c r="F173" s="27"/>
    </row>
    <row r="174" spans="1:6" x14ac:dyDescent="0.3">
      <c r="A174" s="27" t="s">
        <v>384</v>
      </c>
      <c r="B174" s="27" t="s">
        <v>33</v>
      </c>
      <c r="C174">
        <v>51.25</v>
      </c>
      <c r="D174">
        <v>53.8</v>
      </c>
      <c r="E174" s="27" t="s">
        <v>382</v>
      </c>
      <c r="F174" s="27"/>
    </row>
    <row r="175" spans="1:6" x14ac:dyDescent="0.3">
      <c r="A175" s="27" t="s">
        <v>383</v>
      </c>
      <c r="B175" s="27" t="s">
        <v>29</v>
      </c>
      <c r="C175">
        <v>32.1</v>
      </c>
      <c r="D175">
        <v>33.700000000000003</v>
      </c>
      <c r="E175" s="27" t="s">
        <v>382</v>
      </c>
      <c r="F175" s="27"/>
    </row>
    <row r="176" spans="1:6" x14ac:dyDescent="0.3">
      <c r="A176" s="27" t="s">
        <v>394</v>
      </c>
      <c r="B176" s="27" t="s">
        <v>11</v>
      </c>
      <c r="C176">
        <v>136.65</v>
      </c>
      <c r="D176">
        <v>143.44999999999999</v>
      </c>
      <c r="E176" s="27" t="s">
        <v>382</v>
      </c>
      <c r="F176" s="27"/>
    </row>
    <row r="177" spans="1:6" x14ac:dyDescent="0.3">
      <c r="A177" s="27" t="s">
        <v>381</v>
      </c>
      <c r="B177" s="27" t="s">
        <v>328</v>
      </c>
      <c r="C177">
        <v>2.61</v>
      </c>
      <c r="D177">
        <v>2.74</v>
      </c>
      <c r="E177" s="27" t="s">
        <v>382</v>
      </c>
      <c r="F177" s="27"/>
    </row>
    <row r="178" spans="1:6" x14ac:dyDescent="0.3">
      <c r="A178" s="27" t="s">
        <v>1192</v>
      </c>
      <c r="B178" s="27" t="s">
        <v>33</v>
      </c>
      <c r="C178">
        <v>14.47</v>
      </c>
      <c r="D178">
        <v>15.19</v>
      </c>
      <c r="E178" s="27" t="s">
        <v>382</v>
      </c>
      <c r="F178" s="27"/>
    </row>
    <row r="179" spans="1:6" x14ac:dyDescent="0.3">
      <c r="A179" s="27" t="s">
        <v>1097</v>
      </c>
      <c r="B179" s="27" t="s">
        <v>328</v>
      </c>
      <c r="C179">
        <v>206.85</v>
      </c>
      <c r="D179">
        <v>217.15</v>
      </c>
      <c r="E179" s="27" t="s">
        <v>382</v>
      </c>
      <c r="F179" s="27"/>
    </row>
    <row r="180" spans="1:6" x14ac:dyDescent="0.3">
      <c r="A180" s="27" t="s">
        <v>391</v>
      </c>
      <c r="B180" s="27" t="s">
        <v>29</v>
      </c>
      <c r="C180">
        <v>250.95</v>
      </c>
      <c r="D180">
        <v>263.45</v>
      </c>
      <c r="E180" s="27" t="s">
        <v>382</v>
      </c>
      <c r="F180" s="27"/>
    </row>
    <row r="181" spans="1:6" x14ac:dyDescent="0.3">
      <c r="A181" s="27" t="s">
        <v>397</v>
      </c>
      <c r="B181" s="27" t="s">
        <v>33</v>
      </c>
      <c r="C181">
        <v>31.1</v>
      </c>
      <c r="D181">
        <v>32.65</v>
      </c>
      <c r="E181" s="27" t="s">
        <v>382</v>
      </c>
      <c r="F181" s="27"/>
    </row>
    <row r="182" spans="1:6" x14ac:dyDescent="0.3">
      <c r="A182" s="27" t="s">
        <v>396</v>
      </c>
      <c r="B182" s="27" t="s">
        <v>10</v>
      </c>
      <c r="C182">
        <v>99.35</v>
      </c>
      <c r="D182">
        <v>104.3</v>
      </c>
      <c r="E182" s="27" t="s">
        <v>382</v>
      </c>
      <c r="F182" s="27"/>
    </row>
    <row r="183" spans="1:6" x14ac:dyDescent="0.3">
      <c r="A183" s="27" t="s">
        <v>3336</v>
      </c>
      <c r="B183" s="27" t="s">
        <v>33</v>
      </c>
      <c r="C183">
        <v>7.23</v>
      </c>
      <c r="D183">
        <v>7.59</v>
      </c>
      <c r="E183" s="27" t="s">
        <v>382</v>
      </c>
      <c r="F183" s="27"/>
    </row>
    <row r="184" spans="1:6" x14ac:dyDescent="0.3">
      <c r="A184" s="27" t="s">
        <v>393</v>
      </c>
      <c r="B184" s="27" t="s">
        <v>11</v>
      </c>
      <c r="C184">
        <v>30.1</v>
      </c>
      <c r="D184">
        <v>31.6</v>
      </c>
      <c r="E184" s="27" t="s">
        <v>382</v>
      </c>
      <c r="F184" s="27"/>
    </row>
    <row r="185" spans="1:6" x14ac:dyDescent="0.3">
      <c r="A185" s="27" t="s">
        <v>395</v>
      </c>
      <c r="B185" s="27" t="s">
        <v>11</v>
      </c>
      <c r="C185">
        <v>7.43</v>
      </c>
      <c r="D185">
        <v>7.8</v>
      </c>
      <c r="E185" s="27" t="s">
        <v>382</v>
      </c>
      <c r="F185" s="27"/>
    </row>
    <row r="186" spans="1:6" x14ac:dyDescent="0.3">
      <c r="A186" s="27" t="s">
        <v>389</v>
      </c>
      <c r="B186" s="27" t="s">
        <v>33</v>
      </c>
      <c r="C186">
        <v>55.2</v>
      </c>
      <c r="D186">
        <v>57.95</v>
      </c>
      <c r="E186" s="27" t="s">
        <v>382</v>
      </c>
      <c r="F186" s="27"/>
    </row>
    <row r="187" spans="1:6" x14ac:dyDescent="0.3">
      <c r="A187" s="27" t="s">
        <v>402</v>
      </c>
      <c r="B187" s="27" t="s">
        <v>11</v>
      </c>
      <c r="C187">
        <v>58.3</v>
      </c>
      <c r="D187">
        <v>61.2</v>
      </c>
      <c r="E187" s="27" t="s">
        <v>400</v>
      </c>
      <c r="F187" s="27"/>
    </row>
    <row r="188" spans="1:6" x14ac:dyDescent="0.3">
      <c r="A188" s="27" t="s">
        <v>403</v>
      </c>
      <c r="B188" s="27" t="s">
        <v>11</v>
      </c>
      <c r="C188">
        <v>69.400000000000006</v>
      </c>
      <c r="D188">
        <v>72.849999999999994</v>
      </c>
      <c r="E188" s="27" t="s">
        <v>400</v>
      </c>
      <c r="F188" s="27"/>
    </row>
    <row r="189" spans="1:6" x14ac:dyDescent="0.3">
      <c r="A189" s="27" t="s">
        <v>405</v>
      </c>
      <c r="B189" s="27" t="s">
        <v>33</v>
      </c>
      <c r="C189">
        <v>33.200000000000003</v>
      </c>
      <c r="D189">
        <v>34.85</v>
      </c>
      <c r="E189" s="27" t="s">
        <v>400</v>
      </c>
      <c r="F189" s="27"/>
    </row>
    <row r="190" spans="1:6" x14ac:dyDescent="0.3">
      <c r="A190" s="27" t="s">
        <v>407</v>
      </c>
      <c r="B190" s="27" t="s">
        <v>11</v>
      </c>
      <c r="C190">
        <v>78.45</v>
      </c>
      <c r="D190">
        <v>82.35</v>
      </c>
      <c r="E190" s="27" t="s">
        <v>400</v>
      </c>
      <c r="F190" s="27"/>
    </row>
    <row r="191" spans="1:6" x14ac:dyDescent="0.3">
      <c r="A191" s="27" t="s">
        <v>404</v>
      </c>
      <c r="B191" s="27" t="s">
        <v>29</v>
      </c>
      <c r="C191">
        <v>43.25</v>
      </c>
      <c r="D191">
        <v>45.4</v>
      </c>
      <c r="E191" s="27" t="s">
        <v>400</v>
      </c>
      <c r="F191" s="27"/>
    </row>
    <row r="192" spans="1:6" x14ac:dyDescent="0.3">
      <c r="A192" s="27" t="s">
        <v>399</v>
      </c>
      <c r="B192" s="27" t="s">
        <v>33</v>
      </c>
      <c r="C192">
        <v>64.400000000000006</v>
      </c>
      <c r="D192">
        <v>67.599999999999994</v>
      </c>
      <c r="E192" s="27" t="s">
        <v>400</v>
      </c>
      <c r="F192" s="27"/>
    </row>
    <row r="193" spans="1:6" x14ac:dyDescent="0.3">
      <c r="A193" s="27" t="s">
        <v>409</v>
      </c>
      <c r="B193" s="27" t="s">
        <v>33</v>
      </c>
      <c r="C193">
        <v>1.81</v>
      </c>
      <c r="D193">
        <v>1.9</v>
      </c>
      <c r="E193" s="27" t="s">
        <v>400</v>
      </c>
      <c r="F193" s="27"/>
    </row>
    <row r="194" spans="1:6" x14ac:dyDescent="0.3">
      <c r="A194" s="27" t="s">
        <v>406</v>
      </c>
      <c r="B194" s="27" t="s">
        <v>22</v>
      </c>
      <c r="C194">
        <v>125.8</v>
      </c>
      <c r="D194">
        <v>132.05000000000001</v>
      </c>
      <c r="E194" s="27" t="s">
        <v>400</v>
      </c>
      <c r="F194" s="27"/>
    </row>
    <row r="195" spans="1:6" x14ac:dyDescent="0.3">
      <c r="A195" s="27" t="s">
        <v>408</v>
      </c>
      <c r="B195" s="27" t="s">
        <v>328</v>
      </c>
      <c r="C195">
        <v>4.63</v>
      </c>
      <c r="D195">
        <v>4.8600000000000003</v>
      </c>
      <c r="E195" s="27" t="s">
        <v>400</v>
      </c>
      <c r="F195" s="27"/>
    </row>
    <row r="196" spans="1:6" x14ac:dyDescent="0.3">
      <c r="A196" s="27" t="s">
        <v>401</v>
      </c>
      <c r="B196" s="27" t="s">
        <v>29</v>
      </c>
      <c r="C196">
        <v>43.3</v>
      </c>
      <c r="D196">
        <v>45.45</v>
      </c>
      <c r="E196" s="27" t="s">
        <v>400</v>
      </c>
      <c r="F196" s="27"/>
    </row>
    <row r="197" spans="1:6" x14ac:dyDescent="0.3">
      <c r="A197" s="27" t="s">
        <v>453</v>
      </c>
      <c r="B197" s="27" t="s">
        <v>10</v>
      </c>
      <c r="C197">
        <v>1609.6</v>
      </c>
      <c r="D197">
        <v>1689.5</v>
      </c>
      <c r="E197" s="27" t="s">
        <v>411</v>
      </c>
      <c r="F197" s="27"/>
    </row>
    <row r="198" spans="1:6" x14ac:dyDescent="0.3">
      <c r="A198" s="27" t="s">
        <v>414</v>
      </c>
      <c r="B198" s="27" t="s">
        <v>11</v>
      </c>
      <c r="C198">
        <v>89.75</v>
      </c>
      <c r="D198">
        <v>94.2</v>
      </c>
      <c r="E198" s="27" t="s">
        <v>411</v>
      </c>
      <c r="F198" s="27"/>
    </row>
    <row r="199" spans="1:6" x14ac:dyDescent="0.3">
      <c r="A199" s="27" t="s">
        <v>410</v>
      </c>
      <c r="B199" s="27" t="s">
        <v>328</v>
      </c>
      <c r="C199">
        <v>3.83</v>
      </c>
      <c r="D199">
        <v>4.0199999999999996</v>
      </c>
      <c r="E199" s="27" t="s">
        <v>411</v>
      </c>
      <c r="F199" s="27"/>
    </row>
    <row r="200" spans="1:6" x14ac:dyDescent="0.3">
      <c r="A200" s="27" t="s">
        <v>417</v>
      </c>
      <c r="B200" s="27" t="s">
        <v>11</v>
      </c>
      <c r="C200">
        <v>2.82</v>
      </c>
      <c r="D200">
        <v>2.96</v>
      </c>
      <c r="E200" s="27" t="s">
        <v>411</v>
      </c>
      <c r="F200" s="27"/>
    </row>
    <row r="201" spans="1:6" x14ac:dyDescent="0.3">
      <c r="A201" s="27" t="s">
        <v>415</v>
      </c>
      <c r="B201" s="27" t="s">
        <v>29</v>
      </c>
      <c r="C201">
        <v>132.94999999999999</v>
      </c>
      <c r="D201">
        <v>139.55000000000001</v>
      </c>
      <c r="E201" s="27" t="s">
        <v>411</v>
      </c>
      <c r="F201" s="27"/>
    </row>
    <row r="202" spans="1:6" x14ac:dyDescent="0.3">
      <c r="A202" s="27" t="s">
        <v>416</v>
      </c>
      <c r="B202" s="27" t="s">
        <v>33</v>
      </c>
      <c r="C202">
        <v>7.46</v>
      </c>
      <c r="D202">
        <v>7.83</v>
      </c>
      <c r="E202" s="27" t="s">
        <v>411</v>
      </c>
      <c r="F202" s="27"/>
    </row>
    <row r="203" spans="1:6" x14ac:dyDescent="0.3">
      <c r="A203" s="27" t="s">
        <v>419</v>
      </c>
      <c r="B203" s="27" t="s">
        <v>35</v>
      </c>
      <c r="C203">
        <v>83.6</v>
      </c>
      <c r="D203">
        <v>87.75</v>
      </c>
      <c r="E203" s="27" t="s">
        <v>411</v>
      </c>
      <c r="F203" s="27"/>
    </row>
    <row r="204" spans="1:6" x14ac:dyDescent="0.3">
      <c r="A204" s="27" t="s">
        <v>422</v>
      </c>
      <c r="B204" s="27" t="s">
        <v>11</v>
      </c>
      <c r="C204">
        <v>72.599999999999994</v>
      </c>
      <c r="D204">
        <v>76.2</v>
      </c>
      <c r="E204" s="27" t="s">
        <v>411</v>
      </c>
      <c r="F204" s="27"/>
    </row>
    <row r="205" spans="1:6" x14ac:dyDescent="0.3">
      <c r="A205" s="27" t="s">
        <v>412</v>
      </c>
      <c r="B205" s="27" t="s">
        <v>33</v>
      </c>
      <c r="C205">
        <v>4.03</v>
      </c>
      <c r="D205">
        <v>4.2300000000000004</v>
      </c>
      <c r="E205" s="27" t="s">
        <v>411</v>
      </c>
      <c r="F205" s="27"/>
    </row>
    <row r="206" spans="1:6" x14ac:dyDescent="0.3">
      <c r="A206" s="27" t="s">
        <v>413</v>
      </c>
      <c r="B206" s="27" t="s">
        <v>33</v>
      </c>
      <c r="C206">
        <v>5.85</v>
      </c>
      <c r="D206">
        <v>6.14</v>
      </c>
      <c r="E206" s="27" t="s">
        <v>411</v>
      </c>
      <c r="F206" s="27"/>
    </row>
    <row r="207" spans="1:6" x14ac:dyDescent="0.3">
      <c r="A207" s="27" t="s">
        <v>418</v>
      </c>
      <c r="B207" s="27" t="s">
        <v>328</v>
      </c>
      <c r="C207">
        <v>68.599999999999994</v>
      </c>
      <c r="D207">
        <v>72</v>
      </c>
      <c r="E207" s="27" t="s">
        <v>411</v>
      </c>
      <c r="F207" s="27"/>
    </row>
    <row r="208" spans="1:6" x14ac:dyDescent="0.3">
      <c r="A208" s="27" t="s">
        <v>420</v>
      </c>
      <c r="B208" s="27" t="s">
        <v>33</v>
      </c>
      <c r="C208">
        <v>13.7</v>
      </c>
      <c r="D208">
        <v>14.38</v>
      </c>
      <c r="E208" s="27" t="s">
        <v>411</v>
      </c>
      <c r="F208" s="27"/>
    </row>
    <row r="209" spans="1:6" x14ac:dyDescent="0.3">
      <c r="A209" s="27" t="s">
        <v>421</v>
      </c>
      <c r="B209" s="27" t="s">
        <v>29</v>
      </c>
      <c r="C209">
        <v>87.7</v>
      </c>
      <c r="D209">
        <v>92.05</v>
      </c>
      <c r="E209" s="27" t="s">
        <v>411</v>
      </c>
      <c r="F209" s="27"/>
    </row>
    <row r="210" spans="1:6" x14ac:dyDescent="0.3">
      <c r="A210" s="27" t="s">
        <v>436</v>
      </c>
      <c r="B210" s="27" t="s">
        <v>10</v>
      </c>
      <c r="C210">
        <v>46.5</v>
      </c>
      <c r="D210">
        <v>48.8</v>
      </c>
      <c r="E210" s="27" t="s">
        <v>424</v>
      </c>
      <c r="F210" s="27"/>
    </row>
    <row r="211" spans="1:6" x14ac:dyDescent="0.3">
      <c r="A211" s="27" t="s">
        <v>431</v>
      </c>
      <c r="B211" s="27" t="s">
        <v>11</v>
      </c>
      <c r="C211">
        <v>14.75</v>
      </c>
      <c r="D211">
        <v>15.48</v>
      </c>
      <c r="E211" s="27" t="s">
        <v>424</v>
      </c>
      <c r="F211" s="27"/>
    </row>
    <row r="212" spans="1:6" x14ac:dyDescent="0.3">
      <c r="A212" s="27" t="s">
        <v>428</v>
      </c>
      <c r="B212" s="27" t="s">
        <v>328</v>
      </c>
      <c r="C212">
        <v>73.75</v>
      </c>
      <c r="D212">
        <v>77.400000000000006</v>
      </c>
      <c r="E212" s="27" t="s">
        <v>424</v>
      </c>
      <c r="F212" s="27"/>
    </row>
    <row r="213" spans="1:6" x14ac:dyDescent="0.3">
      <c r="A213" s="27" t="s">
        <v>425</v>
      </c>
      <c r="B213" s="27" t="s">
        <v>33</v>
      </c>
      <c r="C213">
        <v>9.1</v>
      </c>
      <c r="D213">
        <v>9.5500000000000007</v>
      </c>
      <c r="E213" s="27" t="s">
        <v>424</v>
      </c>
      <c r="F213" s="27"/>
    </row>
    <row r="214" spans="1:6" x14ac:dyDescent="0.3">
      <c r="A214" s="27" t="s">
        <v>3337</v>
      </c>
      <c r="B214" s="27" t="s">
        <v>33</v>
      </c>
      <c r="C214">
        <v>40.4</v>
      </c>
      <c r="D214">
        <v>42.4</v>
      </c>
      <c r="E214" s="27" t="s">
        <v>424</v>
      </c>
      <c r="F214" s="27"/>
    </row>
    <row r="215" spans="1:6" x14ac:dyDescent="0.3">
      <c r="A215" s="27" t="s">
        <v>430</v>
      </c>
      <c r="B215" s="27" t="s">
        <v>33</v>
      </c>
      <c r="C215">
        <v>78.849999999999994</v>
      </c>
      <c r="D215">
        <v>82.75</v>
      </c>
      <c r="E215" s="27" t="s">
        <v>424</v>
      </c>
      <c r="F215" s="27"/>
    </row>
    <row r="216" spans="1:6" x14ac:dyDescent="0.3">
      <c r="A216" s="27" t="s">
        <v>426</v>
      </c>
      <c r="B216" s="27" t="s">
        <v>11</v>
      </c>
      <c r="C216">
        <v>11.52</v>
      </c>
      <c r="D216">
        <v>12.09</v>
      </c>
      <c r="E216" s="27" t="s">
        <v>424</v>
      </c>
      <c r="F216" s="27"/>
    </row>
    <row r="217" spans="1:6" x14ac:dyDescent="0.3">
      <c r="A217" s="27" t="s">
        <v>427</v>
      </c>
      <c r="B217" s="27" t="s">
        <v>29</v>
      </c>
      <c r="C217">
        <v>47.5</v>
      </c>
      <c r="D217">
        <v>49.85</v>
      </c>
      <c r="E217" s="27" t="s">
        <v>424</v>
      </c>
      <c r="F217" s="27"/>
    </row>
    <row r="218" spans="1:6" x14ac:dyDescent="0.3">
      <c r="A218" s="27" t="s">
        <v>432</v>
      </c>
      <c r="B218" s="27" t="s">
        <v>328</v>
      </c>
      <c r="C218">
        <v>3.64</v>
      </c>
      <c r="D218">
        <v>3.82</v>
      </c>
      <c r="E218" s="27" t="s">
        <v>424</v>
      </c>
      <c r="F218" s="27"/>
    </row>
    <row r="219" spans="1:6" x14ac:dyDescent="0.3">
      <c r="A219" s="27" t="s">
        <v>433</v>
      </c>
      <c r="B219" s="27" t="s">
        <v>328</v>
      </c>
      <c r="C219">
        <v>11.72</v>
      </c>
      <c r="D219">
        <v>12.3</v>
      </c>
      <c r="E219" s="27" t="s">
        <v>424</v>
      </c>
      <c r="F219" s="27"/>
    </row>
    <row r="220" spans="1:6" x14ac:dyDescent="0.3">
      <c r="A220" s="27" t="s">
        <v>435</v>
      </c>
      <c r="B220" s="27" t="s">
        <v>328</v>
      </c>
      <c r="C220">
        <v>30.3</v>
      </c>
      <c r="D220">
        <v>31.8</v>
      </c>
      <c r="E220" s="27" t="s">
        <v>424</v>
      </c>
      <c r="F220" s="27"/>
    </row>
    <row r="221" spans="1:6" x14ac:dyDescent="0.3">
      <c r="A221" s="27" t="s">
        <v>449</v>
      </c>
      <c r="B221" s="27" t="s">
        <v>29</v>
      </c>
      <c r="C221">
        <v>7.49</v>
      </c>
      <c r="D221">
        <v>7.86</v>
      </c>
      <c r="E221" s="27" t="s">
        <v>438</v>
      </c>
      <c r="F221" s="27"/>
    </row>
    <row r="222" spans="1:6" x14ac:dyDescent="0.3">
      <c r="A222" s="27" t="s">
        <v>439</v>
      </c>
      <c r="B222" s="27" t="s">
        <v>29</v>
      </c>
      <c r="C222">
        <v>8.91</v>
      </c>
      <c r="D222">
        <v>9.35</v>
      </c>
      <c r="E222" s="27" t="s">
        <v>438</v>
      </c>
      <c r="F222" s="27"/>
    </row>
    <row r="223" spans="1:6" x14ac:dyDescent="0.3">
      <c r="A223" s="27" t="s">
        <v>441</v>
      </c>
      <c r="B223" s="27" t="s">
        <v>33</v>
      </c>
      <c r="C223">
        <v>4.45</v>
      </c>
      <c r="D223">
        <v>4.67</v>
      </c>
      <c r="E223" s="27" t="s">
        <v>438</v>
      </c>
      <c r="F223" s="27"/>
    </row>
    <row r="224" spans="1:6" x14ac:dyDescent="0.3">
      <c r="A224" s="27" t="s">
        <v>442</v>
      </c>
      <c r="B224" s="27" t="s">
        <v>328</v>
      </c>
      <c r="C224">
        <v>40.5</v>
      </c>
      <c r="D224">
        <v>42.5</v>
      </c>
      <c r="E224" s="27" t="s">
        <v>438</v>
      </c>
      <c r="F224" s="27"/>
    </row>
    <row r="225" spans="1:6" x14ac:dyDescent="0.3">
      <c r="A225" s="27" t="s">
        <v>444</v>
      </c>
      <c r="B225" s="27" t="s">
        <v>29</v>
      </c>
      <c r="C225">
        <v>31.35</v>
      </c>
      <c r="D225">
        <v>32.9</v>
      </c>
      <c r="E225" s="27" t="s">
        <v>438</v>
      </c>
      <c r="F225" s="27"/>
    </row>
    <row r="226" spans="1:6" x14ac:dyDescent="0.3">
      <c r="A226" s="27" t="s">
        <v>446</v>
      </c>
      <c r="B226" s="27" t="s">
        <v>33</v>
      </c>
      <c r="C226">
        <v>17.2</v>
      </c>
      <c r="D226">
        <v>18.05</v>
      </c>
      <c r="E226" s="27" t="s">
        <v>438</v>
      </c>
      <c r="F226" s="27"/>
    </row>
    <row r="227" spans="1:6" x14ac:dyDescent="0.3">
      <c r="A227" s="27" t="s">
        <v>448</v>
      </c>
      <c r="B227" s="27" t="s">
        <v>33</v>
      </c>
      <c r="C227">
        <v>57.75</v>
      </c>
      <c r="D227">
        <v>60.6</v>
      </c>
      <c r="E227" s="27" t="s">
        <v>438</v>
      </c>
      <c r="F227" s="27"/>
    </row>
    <row r="228" spans="1:6" x14ac:dyDescent="0.3">
      <c r="A228" s="27" t="s">
        <v>443</v>
      </c>
      <c r="B228" s="27" t="s">
        <v>328</v>
      </c>
      <c r="C228">
        <v>12.34</v>
      </c>
      <c r="D228">
        <v>12.95</v>
      </c>
      <c r="E228" s="27" t="s">
        <v>438</v>
      </c>
      <c r="F228" s="27"/>
    </row>
    <row r="229" spans="1:6" x14ac:dyDescent="0.3">
      <c r="A229" s="27" t="s">
        <v>437</v>
      </c>
      <c r="B229" s="27" t="s">
        <v>328</v>
      </c>
      <c r="C229">
        <v>55.7</v>
      </c>
      <c r="D229">
        <v>58.45</v>
      </c>
      <c r="E229" s="27" t="s">
        <v>438</v>
      </c>
      <c r="F229" s="27"/>
    </row>
    <row r="230" spans="1:6" x14ac:dyDescent="0.3">
      <c r="A230" s="27" t="s">
        <v>445</v>
      </c>
      <c r="B230" s="27" t="s">
        <v>29</v>
      </c>
      <c r="C230">
        <v>52.65</v>
      </c>
      <c r="D230">
        <v>55.25</v>
      </c>
      <c r="E230" s="27" t="s">
        <v>438</v>
      </c>
      <c r="F230" s="27"/>
    </row>
    <row r="231" spans="1:6" x14ac:dyDescent="0.3">
      <c r="A231" s="27" t="s">
        <v>447</v>
      </c>
      <c r="B231" s="27" t="s">
        <v>33</v>
      </c>
      <c r="C231">
        <v>16.2</v>
      </c>
      <c r="D231">
        <v>17</v>
      </c>
      <c r="E231" s="27" t="s">
        <v>438</v>
      </c>
      <c r="F231" s="27"/>
    </row>
    <row r="232" spans="1:6" x14ac:dyDescent="0.3">
      <c r="A232" s="27" t="s">
        <v>459</v>
      </c>
      <c r="B232" s="27" t="s">
        <v>11</v>
      </c>
      <c r="C232">
        <v>5.88</v>
      </c>
      <c r="D232">
        <v>6.17</v>
      </c>
      <c r="E232" s="27" t="s">
        <v>451</v>
      </c>
      <c r="F232" s="27"/>
    </row>
    <row r="233" spans="1:6" x14ac:dyDescent="0.3">
      <c r="A233" s="27" t="s">
        <v>454</v>
      </c>
      <c r="B233" s="27" t="s">
        <v>29</v>
      </c>
      <c r="C233">
        <v>4.26</v>
      </c>
      <c r="D233">
        <v>4.47</v>
      </c>
      <c r="E233" s="27" t="s">
        <v>451</v>
      </c>
      <c r="F233" s="27"/>
    </row>
    <row r="234" spans="1:6" x14ac:dyDescent="0.3">
      <c r="A234" s="27" t="s">
        <v>460</v>
      </c>
      <c r="B234" s="27" t="s">
        <v>29</v>
      </c>
      <c r="C234">
        <v>13.38</v>
      </c>
      <c r="D234">
        <v>14.04</v>
      </c>
      <c r="E234" s="27" t="s">
        <v>451</v>
      </c>
      <c r="F234" s="27"/>
    </row>
    <row r="235" spans="1:6" x14ac:dyDescent="0.3">
      <c r="A235" s="27" t="s">
        <v>458</v>
      </c>
      <c r="B235" s="27" t="s">
        <v>328</v>
      </c>
      <c r="C235">
        <v>138.05000000000001</v>
      </c>
      <c r="D235">
        <v>144.85</v>
      </c>
      <c r="E235" s="27" t="s">
        <v>451</v>
      </c>
      <c r="F235" s="27"/>
    </row>
    <row r="236" spans="1:6" x14ac:dyDescent="0.3">
      <c r="A236" s="27" t="s">
        <v>457</v>
      </c>
      <c r="B236" s="27" t="s">
        <v>22</v>
      </c>
      <c r="C236">
        <v>14.2</v>
      </c>
      <c r="D236">
        <v>14.9</v>
      </c>
      <c r="E236" s="27" t="s">
        <v>451</v>
      </c>
      <c r="F236" s="27"/>
    </row>
    <row r="237" spans="1:6" x14ac:dyDescent="0.3">
      <c r="A237" s="27" t="s">
        <v>461</v>
      </c>
      <c r="B237" s="27" t="s">
        <v>29</v>
      </c>
      <c r="C237">
        <v>10.57</v>
      </c>
      <c r="D237">
        <v>11.09</v>
      </c>
      <c r="E237" s="27" t="s">
        <v>462</v>
      </c>
      <c r="F237" s="27"/>
    </row>
    <row r="238" spans="1:6" x14ac:dyDescent="0.3">
      <c r="A238" s="27" t="s">
        <v>463</v>
      </c>
      <c r="B238" s="27" t="s">
        <v>328</v>
      </c>
      <c r="C238">
        <v>11.99</v>
      </c>
      <c r="D238">
        <v>12.58</v>
      </c>
      <c r="E238" s="27" t="s">
        <v>462</v>
      </c>
      <c r="F238" s="27"/>
    </row>
    <row r="239" spans="1:6" x14ac:dyDescent="0.3">
      <c r="A239" s="27" t="s">
        <v>464</v>
      </c>
      <c r="B239" s="27" t="s">
        <v>11</v>
      </c>
      <c r="C239">
        <v>5.89</v>
      </c>
      <c r="D239">
        <v>6.18</v>
      </c>
      <c r="E239" s="27" t="s">
        <v>462</v>
      </c>
      <c r="F239" s="27"/>
    </row>
    <row r="240" spans="1:6" x14ac:dyDescent="0.3">
      <c r="A240" s="27" t="s">
        <v>1701</v>
      </c>
      <c r="B240" s="27" t="s">
        <v>29</v>
      </c>
      <c r="C240">
        <v>5.49</v>
      </c>
      <c r="D240">
        <v>5.76</v>
      </c>
      <c r="E240" s="27" t="s">
        <v>462</v>
      </c>
      <c r="F240" s="27"/>
    </row>
    <row r="241" spans="1:6" x14ac:dyDescent="0.3">
      <c r="A241" s="27" t="s">
        <v>465</v>
      </c>
      <c r="B241" s="27" t="s">
        <v>33</v>
      </c>
      <c r="C241">
        <v>16.25</v>
      </c>
      <c r="D241">
        <v>17.05</v>
      </c>
      <c r="E241" s="27" t="s">
        <v>462</v>
      </c>
      <c r="F241" s="27"/>
    </row>
    <row r="242" spans="1:6" x14ac:dyDescent="0.3">
      <c r="A242" s="27" t="s">
        <v>466</v>
      </c>
      <c r="B242" s="27" t="s">
        <v>33</v>
      </c>
      <c r="C242">
        <v>39.6</v>
      </c>
      <c r="D242">
        <v>41.55</v>
      </c>
      <c r="E242" s="27" t="s">
        <v>462</v>
      </c>
      <c r="F242" s="27"/>
    </row>
    <row r="243" spans="1:6" x14ac:dyDescent="0.3">
      <c r="A243" s="27" t="s">
        <v>467</v>
      </c>
      <c r="B243" s="27" t="s">
        <v>33</v>
      </c>
      <c r="C243">
        <v>874.1</v>
      </c>
      <c r="D243">
        <v>917</v>
      </c>
      <c r="E243" s="27" t="s">
        <v>468</v>
      </c>
      <c r="F243" s="27"/>
    </row>
    <row r="244" spans="1:6" x14ac:dyDescent="0.3">
      <c r="A244" s="27" t="s">
        <v>541</v>
      </c>
      <c r="B244" s="27" t="s">
        <v>10</v>
      </c>
      <c r="C244">
        <v>39.700000000000003</v>
      </c>
      <c r="D244">
        <v>41.65</v>
      </c>
      <c r="E244" s="27" t="s">
        <v>468</v>
      </c>
      <c r="F244" s="27"/>
    </row>
    <row r="245" spans="1:6" x14ac:dyDescent="0.3">
      <c r="A245" s="27" t="s">
        <v>469</v>
      </c>
      <c r="B245" s="27" t="s">
        <v>328</v>
      </c>
      <c r="C245">
        <v>5.3</v>
      </c>
      <c r="D245">
        <v>5.56</v>
      </c>
      <c r="E245" s="27" t="s">
        <v>468</v>
      </c>
      <c r="F245" s="27"/>
    </row>
    <row r="246" spans="1:6" x14ac:dyDescent="0.3">
      <c r="A246" s="27" t="s">
        <v>470</v>
      </c>
      <c r="B246" s="27" t="s">
        <v>33</v>
      </c>
      <c r="C246">
        <v>9.17</v>
      </c>
      <c r="D246">
        <v>9.6199999999999992</v>
      </c>
      <c r="E246" s="27" t="s">
        <v>468</v>
      </c>
      <c r="F246" s="27"/>
    </row>
    <row r="247" spans="1:6" x14ac:dyDescent="0.3">
      <c r="A247" s="27" t="s">
        <v>474</v>
      </c>
      <c r="B247" s="27" t="s">
        <v>33</v>
      </c>
      <c r="C247">
        <v>6.92</v>
      </c>
      <c r="D247">
        <v>7.26</v>
      </c>
      <c r="E247" s="27" t="s">
        <v>468</v>
      </c>
      <c r="F247" s="27"/>
    </row>
    <row r="248" spans="1:6" x14ac:dyDescent="0.3">
      <c r="A248" s="27" t="s">
        <v>472</v>
      </c>
      <c r="B248" s="27" t="s">
        <v>11</v>
      </c>
      <c r="C248">
        <v>37.65</v>
      </c>
      <c r="D248">
        <v>39.5</v>
      </c>
      <c r="E248" s="27" t="s">
        <v>468</v>
      </c>
      <c r="F248" s="27"/>
    </row>
    <row r="249" spans="1:6" x14ac:dyDescent="0.3">
      <c r="A249" s="27" t="s">
        <v>473</v>
      </c>
      <c r="B249" s="27" t="s">
        <v>33</v>
      </c>
      <c r="C249">
        <v>44.8</v>
      </c>
      <c r="D249">
        <v>47</v>
      </c>
      <c r="E249" s="27" t="s">
        <v>468</v>
      </c>
      <c r="F249" s="27"/>
    </row>
    <row r="250" spans="1:6" x14ac:dyDescent="0.3">
      <c r="A250" s="27" t="s">
        <v>475</v>
      </c>
      <c r="B250" s="27" t="s">
        <v>33</v>
      </c>
      <c r="C250">
        <v>10.38</v>
      </c>
      <c r="D250">
        <v>10.89</v>
      </c>
      <c r="E250" s="27" t="s">
        <v>468</v>
      </c>
      <c r="F250" s="27"/>
    </row>
    <row r="251" spans="1:6" x14ac:dyDescent="0.3">
      <c r="A251" s="27" t="s">
        <v>471</v>
      </c>
      <c r="B251" s="27" t="s">
        <v>22</v>
      </c>
      <c r="C251">
        <v>218.1</v>
      </c>
      <c r="D251">
        <v>228.8</v>
      </c>
      <c r="E251" s="27" t="s">
        <v>468</v>
      </c>
      <c r="F251" s="27"/>
    </row>
    <row r="252" spans="1:6" x14ac:dyDescent="0.3">
      <c r="A252" s="27" t="s">
        <v>476</v>
      </c>
      <c r="B252" s="27" t="s">
        <v>328</v>
      </c>
      <c r="C252">
        <v>4.28</v>
      </c>
      <c r="D252">
        <v>4.49</v>
      </c>
      <c r="E252" s="27" t="s">
        <v>468</v>
      </c>
      <c r="F252" s="27"/>
    </row>
    <row r="253" spans="1:6" x14ac:dyDescent="0.3">
      <c r="A253" s="27" t="s">
        <v>477</v>
      </c>
      <c r="B253" s="27" t="s">
        <v>33</v>
      </c>
      <c r="C253">
        <v>4.8899999999999997</v>
      </c>
      <c r="D253">
        <v>5.13</v>
      </c>
      <c r="E253" s="27" t="s">
        <v>468</v>
      </c>
      <c r="F253" s="27"/>
    </row>
    <row r="254" spans="1:6" x14ac:dyDescent="0.3">
      <c r="A254" s="27" t="s">
        <v>484</v>
      </c>
      <c r="B254" s="27" t="s">
        <v>29</v>
      </c>
      <c r="C254">
        <v>6.74</v>
      </c>
      <c r="D254">
        <v>7.07</v>
      </c>
      <c r="E254" s="27" t="s">
        <v>479</v>
      </c>
      <c r="F254" s="27"/>
    </row>
    <row r="255" spans="1:6" x14ac:dyDescent="0.3">
      <c r="A255" s="27" t="s">
        <v>480</v>
      </c>
      <c r="B255" s="27" t="s">
        <v>11</v>
      </c>
      <c r="C255">
        <v>6.73</v>
      </c>
      <c r="D255">
        <v>7.06</v>
      </c>
      <c r="E255" s="27" t="s">
        <v>479</v>
      </c>
      <c r="F255" s="27"/>
    </row>
    <row r="256" spans="1:6" x14ac:dyDescent="0.3">
      <c r="A256" s="27" t="s">
        <v>483</v>
      </c>
      <c r="B256" s="27" t="s">
        <v>11</v>
      </c>
      <c r="C256">
        <v>4.08</v>
      </c>
      <c r="D256">
        <v>4.28</v>
      </c>
      <c r="E256" s="27" t="s">
        <v>479</v>
      </c>
      <c r="F256" s="27"/>
    </row>
    <row r="257" spans="1:6" x14ac:dyDescent="0.3">
      <c r="A257" s="27" t="s">
        <v>478</v>
      </c>
      <c r="B257" s="27" t="s">
        <v>33</v>
      </c>
      <c r="C257">
        <v>24.5</v>
      </c>
      <c r="D257">
        <v>25.7</v>
      </c>
      <c r="E257" s="27" t="s">
        <v>479</v>
      </c>
      <c r="F257" s="27"/>
    </row>
    <row r="258" spans="1:6" x14ac:dyDescent="0.3">
      <c r="A258" s="27" t="s">
        <v>482</v>
      </c>
      <c r="B258" s="27" t="s">
        <v>33</v>
      </c>
      <c r="C258">
        <v>42.85</v>
      </c>
      <c r="D258">
        <v>44.95</v>
      </c>
      <c r="E258" s="27" t="s">
        <v>479</v>
      </c>
      <c r="F258" s="27"/>
    </row>
    <row r="259" spans="1:6" x14ac:dyDescent="0.3">
      <c r="A259" s="27" t="s">
        <v>481</v>
      </c>
      <c r="B259" s="27" t="s">
        <v>29</v>
      </c>
      <c r="C259">
        <v>4.6900000000000004</v>
      </c>
      <c r="D259">
        <v>4.92</v>
      </c>
      <c r="E259" s="27" t="s">
        <v>479</v>
      </c>
      <c r="F259" s="27"/>
    </row>
    <row r="260" spans="1:6" x14ac:dyDescent="0.3">
      <c r="A260" s="27" t="s">
        <v>485</v>
      </c>
      <c r="B260" s="27" t="s">
        <v>328</v>
      </c>
      <c r="C260">
        <v>3.07</v>
      </c>
      <c r="D260">
        <v>3.22</v>
      </c>
      <c r="E260" s="27" t="s">
        <v>486</v>
      </c>
      <c r="F260" s="27"/>
    </row>
    <row r="261" spans="1:6" x14ac:dyDescent="0.3">
      <c r="A261" s="27" t="s">
        <v>488</v>
      </c>
      <c r="B261" s="27" t="s">
        <v>29</v>
      </c>
      <c r="C261">
        <v>1.84</v>
      </c>
      <c r="D261">
        <v>1.93</v>
      </c>
      <c r="E261" s="27" t="s">
        <v>486</v>
      </c>
      <c r="F261" s="27"/>
    </row>
    <row r="262" spans="1:6" x14ac:dyDescent="0.3">
      <c r="A262" s="27" t="s">
        <v>489</v>
      </c>
      <c r="B262" s="27" t="s">
        <v>29</v>
      </c>
      <c r="C262">
        <v>16.350000000000001</v>
      </c>
      <c r="D262">
        <v>17.149999999999999</v>
      </c>
      <c r="E262" s="27" t="s">
        <v>486</v>
      </c>
      <c r="F262" s="27"/>
    </row>
    <row r="263" spans="1:6" x14ac:dyDescent="0.3">
      <c r="A263" s="27" t="s">
        <v>492</v>
      </c>
      <c r="B263" s="27" t="s">
        <v>33</v>
      </c>
      <c r="C263">
        <v>2.25</v>
      </c>
      <c r="D263">
        <v>2.36</v>
      </c>
      <c r="E263" s="27" t="s">
        <v>486</v>
      </c>
      <c r="F263" s="27"/>
    </row>
    <row r="264" spans="1:6" x14ac:dyDescent="0.3">
      <c r="A264" s="27" t="s">
        <v>491</v>
      </c>
      <c r="B264" s="27" t="s">
        <v>29</v>
      </c>
      <c r="C264">
        <v>5.52</v>
      </c>
      <c r="D264">
        <v>5.79</v>
      </c>
      <c r="E264" s="27" t="s">
        <v>486</v>
      </c>
      <c r="F264" s="27"/>
    </row>
    <row r="265" spans="1:6" x14ac:dyDescent="0.3">
      <c r="A265" s="27" t="s">
        <v>493</v>
      </c>
      <c r="B265" s="27" t="s">
        <v>33</v>
      </c>
      <c r="C265">
        <v>4.5</v>
      </c>
      <c r="D265">
        <v>4.72</v>
      </c>
      <c r="E265" s="27" t="s">
        <v>486</v>
      </c>
      <c r="F265" s="27"/>
    </row>
    <row r="266" spans="1:6" x14ac:dyDescent="0.3">
      <c r="A266" s="27" t="s">
        <v>487</v>
      </c>
      <c r="B266" s="27" t="s">
        <v>33</v>
      </c>
      <c r="C266">
        <v>27.6</v>
      </c>
      <c r="D266">
        <v>28.95</v>
      </c>
      <c r="E266" s="27" t="s">
        <v>486</v>
      </c>
      <c r="F266" s="27"/>
    </row>
    <row r="267" spans="1:6" x14ac:dyDescent="0.3">
      <c r="A267" s="27" t="s">
        <v>490</v>
      </c>
      <c r="B267" s="27" t="s">
        <v>35</v>
      </c>
      <c r="C267">
        <v>4.7</v>
      </c>
      <c r="D267">
        <v>4.93</v>
      </c>
      <c r="E267" s="27" t="s">
        <v>486</v>
      </c>
      <c r="F267" s="27"/>
    </row>
    <row r="268" spans="1:6" x14ac:dyDescent="0.3">
      <c r="A268" s="27" t="s">
        <v>494</v>
      </c>
      <c r="B268" s="27" t="s">
        <v>33</v>
      </c>
      <c r="C268">
        <v>37.799999999999997</v>
      </c>
      <c r="D268">
        <v>39.65</v>
      </c>
      <c r="E268" s="27" t="s">
        <v>486</v>
      </c>
      <c r="F268" s="27"/>
    </row>
    <row r="269" spans="1:6" x14ac:dyDescent="0.3">
      <c r="A269" s="27" t="s">
        <v>495</v>
      </c>
      <c r="B269" s="27" t="s">
        <v>33</v>
      </c>
      <c r="C269">
        <v>2.46</v>
      </c>
      <c r="D269">
        <v>2.58</v>
      </c>
      <c r="E269" s="27" t="s">
        <v>496</v>
      </c>
      <c r="F269" s="27"/>
    </row>
    <row r="270" spans="1:6" x14ac:dyDescent="0.3">
      <c r="A270" s="27" t="s">
        <v>498</v>
      </c>
      <c r="B270" s="27" t="s">
        <v>33</v>
      </c>
      <c r="C270">
        <v>4.71</v>
      </c>
      <c r="D270">
        <v>4.9400000000000004</v>
      </c>
      <c r="E270" s="27" t="s">
        <v>496</v>
      </c>
      <c r="F270" s="27"/>
    </row>
    <row r="271" spans="1:6" x14ac:dyDescent="0.3">
      <c r="A271" s="27" t="s">
        <v>497</v>
      </c>
      <c r="B271" s="27" t="s">
        <v>29</v>
      </c>
      <c r="C271">
        <v>4.71</v>
      </c>
      <c r="D271">
        <v>4.9400000000000004</v>
      </c>
      <c r="E271" s="27" t="s">
        <v>496</v>
      </c>
      <c r="F271" s="27"/>
    </row>
    <row r="272" spans="1:6" x14ac:dyDescent="0.3">
      <c r="A272" s="27" t="s">
        <v>499</v>
      </c>
      <c r="B272" s="27" t="s">
        <v>33</v>
      </c>
      <c r="C272">
        <v>19.5</v>
      </c>
      <c r="D272">
        <v>20.45</v>
      </c>
      <c r="E272" s="27" t="s">
        <v>500</v>
      </c>
      <c r="F272" s="27"/>
    </row>
    <row r="273" spans="1:6" x14ac:dyDescent="0.3">
      <c r="A273" s="27" t="s">
        <v>663</v>
      </c>
      <c r="B273" s="27" t="s">
        <v>11</v>
      </c>
      <c r="C273">
        <v>37.950000000000003</v>
      </c>
      <c r="D273">
        <v>39.799999999999997</v>
      </c>
      <c r="E273" s="27" t="s">
        <v>500</v>
      </c>
      <c r="F273" s="27"/>
    </row>
    <row r="274" spans="1:6" x14ac:dyDescent="0.3">
      <c r="A274" s="27" t="s">
        <v>502</v>
      </c>
      <c r="B274" s="27" t="s">
        <v>33</v>
      </c>
      <c r="C274">
        <v>19.5</v>
      </c>
      <c r="D274">
        <v>20.45</v>
      </c>
      <c r="E274" s="27" t="s">
        <v>500</v>
      </c>
      <c r="F274" s="27"/>
    </row>
    <row r="275" spans="1:6" x14ac:dyDescent="0.3">
      <c r="A275" s="27" t="s">
        <v>504</v>
      </c>
      <c r="B275" s="27" t="s">
        <v>328</v>
      </c>
      <c r="C275">
        <v>200.25</v>
      </c>
      <c r="D275">
        <v>210</v>
      </c>
      <c r="E275" s="27" t="s">
        <v>500</v>
      </c>
      <c r="F275" s="27"/>
    </row>
    <row r="276" spans="1:6" x14ac:dyDescent="0.3">
      <c r="A276" s="27" t="s">
        <v>506</v>
      </c>
      <c r="B276" s="27" t="s">
        <v>11</v>
      </c>
      <c r="C276">
        <v>29.8</v>
      </c>
      <c r="D276">
        <v>31.25</v>
      </c>
      <c r="E276" s="27" t="s">
        <v>500</v>
      </c>
      <c r="F276" s="27"/>
    </row>
    <row r="277" spans="1:6" x14ac:dyDescent="0.3">
      <c r="A277" s="27" t="s">
        <v>505</v>
      </c>
      <c r="B277" s="27" t="s">
        <v>11</v>
      </c>
      <c r="C277">
        <v>3.49</v>
      </c>
      <c r="D277">
        <v>3.66</v>
      </c>
      <c r="E277" s="27" t="s">
        <v>500</v>
      </c>
      <c r="F277" s="27"/>
    </row>
    <row r="278" spans="1:6" x14ac:dyDescent="0.3">
      <c r="A278" s="27" t="s">
        <v>503</v>
      </c>
      <c r="B278" s="27" t="s">
        <v>328</v>
      </c>
      <c r="C278">
        <v>26.7</v>
      </c>
      <c r="D278">
        <v>28</v>
      </c>
      <c r="E278" s="27" t="s">
        <v>500</v>
      </c>
      <c r="F278" s="27"/>
    </row>
    <row r="279" spans="1:6" x14ac:dyDescent="0.3">
      <c r="A279" s="27" t="s">
        <v>501</v>
      </c>
      <c r="B279" s="27" t="s">
        <v>328</v>
      </c>
      <c r="C279">
        <v>37.950000000000003</v>
      </c>
      <c r="D279">
        <v>39.799999999999997</v>
      </c>
      <c r="E279" s="27" t="s">
        <v>500</v>
      </c>
      <c r="F279" s="27"/>
    </row>
    <row r="280" spans="1:6" x14ac:dyDescent="0.3">
      <c r="A280" s="27" t="s">
        <v>3338</v>
      </c>
      <c r="B280" s="27" t="s">
        <v>33</v>
      </c>
      <c r="C280">
        <v>4.3099999999999996</v>
      </c>
      <c r="D280">
        <v>4.5199999999999996</v>
      </c>
      <c r="E280" s="27" t="s">
        <v>500</v>
      </c>
      <c r="F280" s="27"/>
    </row>
    <row r="281" spans="1:6" x14ac:dyDescent="0.3">
      <c r="A281" s="27" t="s">
        <v>509</v>
      </c>
      <c r="B281" s="27" t="s">
        <v>29</v>
      </c>
      <c r="C281">
        <v>2.88</v>
      </c>
      <c r="D281">
        <v>3.02</v>
      </c>
      <c r="E281" s="27" t="s">
        <v>508</v>
      </c>
      <c r="F281" s="27"/>
    </row>
    <row r="282" spans="1:6" x14ac:dyDescent="0.3">
      <c r="A282" s="27" t="s">
        <v>507</v>
      </c>
      <c r="B282" s="27" t="s">
        <v>33</v>
      </c>
      <c r="C282">
        <v>2.4700000000000002</v>
      </c>
      <c r="D282">
        <v>2.59</v>
      </c>
      <c r="E282" s="27" t="s">
        <v>508</v>
      </c>
      <c r="F282" s="27"/>
    </row>
    <row r="283" spans="1:6" x14ac:dyDescent="0.3">
      <c r="A283" s="27" t="s">
        <v>510</v>
      </c>
      <c r="B283" s="27" t="s">
        <v>11</v>
      </c>
      <c r="C283">
        <v>24.7</v>
      </c>
      <c r="D283">
        <v>25.9</v>
      </c>
      <c r="E283" s="27" t="s">
        <v>508</v>
      </c>
      <c r="F283" s="27"/>
    </row>
    <row r="284" spans="1:6" x14ac:dyDescent="0.3">
      <c r="A284" s="27" t="s">
        <v>511</v>
      </c>
      <c r="B284" s="27" t="s">
        <v>328</v>
      </c>
      <c r="C284">
        <v>3.5</v>
      </c>
      <c r="D284">
        <v>3.67</v>
      </c>
      <c r="E284" s="27" t="s">
        <v>508</v>
      </c>
      <c r="F284" s="27"/>
    </row>
    <row r="285" spans="1:6" x14ac:dyDescent="0.3">
      <c r="A285" s="27" t="s">
        <v>516</v>
      </c>
      <c r="B285" s="27" t="s">
        <v>29</v>
      </c>
      <c r="C285">
        <v>3.3</v>
      </c>
      <c r="D285">
        <v>3.46</v>
      </c>
      <c r="E285" s="27" t="s">
        <v>513</v>
      </c>
      <c r="F285" s="27"/>
    </row>
    <row r="286" spans="1:6" x14ac:dyDescent="0.3">
      <c r="A286" s="27" t="s">
        <v>512</v>
      </c>
      <c r="B286" s="27" t="s">
        <v>29</v>
      </c>
      <c r="C286">
        <v>5.98</v>
      </c>
      <c r="D286">
        <v>6.27</v>
      </c>
      <c r="E286" s="27" t="s">
        <v>513</v>
      </c>
      <c r="F286" s="27"/>
    </row>
    <row r="287" spans="1:6" x14ac:dyDescent="0.3">
      <c r="A287" s="27" t="s">
        <v>517</v>
      </c>
      <c r="B287" s="27" t="s">
        <v>328</v>
      </c>
      <c r="C287">
        <v>22.7</v>
      </c>
      <c r="D287">
        <v>23.8</v>
      </c>
      <c r="E287" s="27" t="s">
        <v>513</v>
      </c>
      <c r="F287" s="27"/>
    </row>
    <row r="288" spans="1:6" x14ac:dyDescent="0.3">
      <c r="A288" s="27" t="s">
        <v>515</v>
      </c>
      <c r="B288" s="27" t="s">
        <v>11</v>
      </c>
      <c r="C288">
        <v>25.75</v>
      </c>
      <c r="D288">
        <v>27</v>
      </c>
      <c r="E288" s="27" t="s">
        <v>513</v>
      </c>
      <c r="F288" s="27"/>
    </row>
    <row r="289" spans="1:6" x14ac:dyDescent="0.3">
      <c r="A289" s="27" t="s">
        <v>514</v>
      </c>
      <c r="B289" s="27" t="s">
        <v>22</v>
      </c>
      <c r="C289">
        <v>16.5</v>
      </c>
      <c r="D289">
        <v>17.3</v>
      </c>
      <c r="E289" s="27" t="s">
        <v>513</v>
      </c>
      <c r="F289" s="27"/>
    </row>
    <row r="290" spans="1:6" x14ac:dyDescent="0.3">
      <c r="A290" s="27" t="s">
        <v>518</v>
      </c>
      <c r="B290" s="27" t="s">
        <v>29</v>
      </c>
      <c r="C290">
        <v>4.13</v>
      </c>
      <c r="D290">
        <v>4.33</v>
      </c>
      <c r="E290" s="27" t="s">
        <v>519</v>
      </c>
      <c r="F290" s="27"/>
    </row>
    <row r="291" spans="1:6" x14ac:dyDescent="0.3">
      <c r="A291" s="27" t="s">
        <v>520</v>
      </c>
      <c r="B291" s="27" t="s">
        <v>328</v>
      </c>
      <c r="C291">
        <v>17.55</v>
      </c>
      <c r="D291">
        <v>18.399999999999999</v>
      </c>
      <c r="E291" s="27" t="s">
        <v>519</v>
      </c>
      <c r="F291" s="27"/>
    </row>
    <row r="292" spans="1:6" x14ac:dyDescent="0.3">
      <c r="A292" s="27" t="s">
        <v>3339</v>
      </c>
      <c r="B292" s="27" t="s">
        <v>35</v>
      </c>
      <c r="C292">
        <v>4.55</v>
      </c>
      <c r="D292">
        <v>4.7699999999999996</v>
      </c>
      <c r="E292" s="27" t="s">
        <v>519</v>
      </c>
      <c r="F292" s="27"/>
    </row>
    <row r="293" spans="1:6" x14ac:dyDescent="0.3">
      <c r="A293" s="27" t="s">
        <v>522</v>
      </c>
      <c r="B293" s="27" t="s">
        <v>328</v>
      </c>
      <c r="C293">
        <v>4.75</v>
      </c>
      <c r="D293">
        <v>4.9800000000000004</v>
      </c>
      <c r="E293" s="27" t="s">
        <v>519</v>
      </c>
      <c r="F293" s="27"/>
    </row>
    <row r="294" spans="1:6" x14ac:dyDescent="0.3">
      <c r="A294" s="27" t="s">
        <v>525</v>
      </c>
      <c r="B294" s="27" t="s">
        <v>328</v>
      </c>
      <c r="C294">
        <v>5.78</v>
      </c>
      <c r="D294">
        <v>6.06</v>
      </c>
      <c r="E294" s="27" t="s">
        <v>519</v>
      </c>
      <c r="F294" s="27"/>
    </row>
    <row r="295" spans="1:6" x14ac:dyDescent="0.3">
      <c r="A295" s="27" t="s">
        <v>524</v>
      </c>
      <c r="B295" s="27" t="s">
        <v>33</v>
      </c>
      <c r="C295">
        <v>25.85</v>
      </c>
      <c r="D295">
        <v>27.1</v>
      </c>
      <c r="E295" s="27" t="s">
        <v>519</v>
      </c>
      <c r="F295" s="27"/>
    </row>
    <row r="296" spans="1:6" x14ac:dyDescent="0.3">
      <c r="A296" s="27" t="s">
        <v>521</v>
      </c>
      <c r="B296" s="27" t="s">
        <v>33</v>
      </c>
      <c r="C296">
        <v>5.17</v>
      </c>
      <c r="D296">
        <v>5.42</v>
      </c>
      <c r="E296" s="27" t="s">
        <v>519</v>
      </c>
      <c r="F296" s="27"/>
    </row>
    <row r="297" spans="1:6" x14ac:dyDescent="0.3">
      <c r="A297" s="27" t="s">
        <v>523</v>
      </c>
      <c r="B297" s="27" t="s">
        <v>11</v>
      </c>
      <c r="C297">
        <v>22.75</v>
      </c>
      <c r="D297">
        <v>23.85</v>
      </c>
      <c r="E297" s="27" t="s">
        <v>519</v>
      </c>
      <c r="F297" s="27"/>
    </row>
    <row r="298" spans="1:6" x14ac:dyDescent="0.3">
      <c r="A298" s="27" t="s">
        <v>526</v>
      </c>
      <c r="B298" s="27" t="s">
        <v>33</v>
      </c>
      <c r="C298">
        <v>14.5</v>
      </c>
      <c r="D298">
        <v>15.2</v>
      </c>
      <c r="E298" s="27" t="s">
        <v>527</v>
      </c>
      <c r="F298" s="27"/>
    </row>
    <row r="299" spans="1:6" x14ac:dyDescent="0.3">
      <c r="A299" s="27" t="s">
        <v>528</v>
      </c>
      <c r="B299" s="27" t="s">
        <v>33</v>
      </c>
      <c r="C299">
        <v>38.35</v>
      </c>
      <c r="D299">
        <v>40.200000000000003</v>
      </c>
      <c r="E299" s="27" t="s">
        <v>529</v>
      </c>
      <c r="F299" s="27"/>
    </row>
    <row r="300" spans="1:6" x14ac:dyDescent="0.3">
      <c r="A300" s="27" t="s">
        <v>3340</v>
      </c>
      <c r="B300" s="27" t="s">
        <v>33</v>
      </c>
      <c r="C300">
        <v>2.4900000000000002</v>
      </c>
      <c r="D300">
        <v>2.61</v>
      </c>
      <c r="E300" s="27" t="s">
        <v>529</v>
      </c>
      <c r="F300" s="27"/>
    </row>
    <row r="301" spans="1:6" x14ac:dyDescent="0.3">
      <c r="A301" s="27" t="s">
        <v>530</v>
      </c>
      <c r="B301" s="27" t="s">
        <v>33</v>
      </c>
      <c r="C301">
        <v>21.8</v>
      </c>
      <c r="D301">
        <v>22.85</v>
      </c>
      <c r="E301" s="27" t="s">
        <v>529</v>
      </c>
      <c r="F301" s="27"/>
    </row>
    <row r="302" spans="1:6" x14ac:dyDescent="0.3">
      <c r="A302" s="27" t="s">
        <v>531</v>
      </c>
      <c r="B302" s="27" t="s">
        <v>328</v>
      </c>
      <c r="C302">
        <v>4.1500000000000004</v>
      </c>
      <c r="D302">
        <v>4.3499999999999996</v>
      </c>
      <c r="E302" s="27" t="s">
        <v>529</v>
      </c>
      <c r="F302" s="27"/>
    </row>
    <row r="303" spans="1:6" x14ac:dyDescent="0.3">
      <c r="A303" s="27" t="s">
        <v>605</v>
      </c>
      <c r="B303" s="27" t="s">
        <v>11</v>
      </c>
      <c r="C303">
        <v>416.8</v>
      </c>
      <c r="D303">
        <v>436.9</v>
      </c>
      <c r="E303" s="27" t="s">
        <v>529</v>
      </c>
      <c r="F303" s="27"/>
    </row>
    <row r="304" spans="1:6" x14ac:dyDescent="0.3">
      <c r="A304" s="27" t="s">
        <v>532</v>
      </c>
      <c r="B304" s="27" t="s">
        <v>35</v>
      </c>
      <c r="C304">
        <v>2.4900000000000002</v>
      </c>
      <c r="D304">
        <v>2.61</v>
      </c>
      <c r="E304" s="27" t="s">
        <v>529</v>
      </c>
      <c r="F304" s="27"/>
    </row>
    <row r="305" spans="1:6" x14ac:dyDescent="0.3">
      <c r="A305" s="27" t="s">
        <v>533</v>
      </c>
      <c r="B305" s="27" t="s">
        <v>11</v>
      </c>
      <c r="C305">
        <v>609.1</v>
      </c>
      <c r="D305">
        <v>638.45000000000005</v>
      </c>
      <c r="E305" s="27" t="s">
        <v>529</v>
      </c>
      <c r="F305" s="27"/>
    </row>
    <row r="306" spans="1:6" x14ac:dyDescent="0.3">
      <c r="A306" s="27" t="s">
        <v>736</v>
      </c>
      <c r="B306" s="27" t="s">
        <v>33</v>
      </c>
      <c r="C306">
        <v>36.4</v>
      </c>
      <c r="D306">
        <v>38.15</v>
      </c>
      <c r="E306" s="27" t="s">
        <v>535</v>
      </c>
      <c r="F306" s="27"/>
    </row>
    <row r="307" spans="1:6" x14ac:dyDescent="0.3">
      <c r="A307" s="27" t="s">
        <v>536</v>
      </c>
      <c r="B307" s="27" t="s">
        <v>29</v>
      </c>
      <c r="C307">
        <v>39.5</v>
      </c>
      <c r="D307">
        <v>41.4</v>
      </c>
      <c r="E307" s="27" t="s">
        <v>535</v>
      </c>
      <c r="F307" s="27"/>
    </row>
    <row r="308" spans="1:6" x14ac:dyDescent="0.3">
      <c r="A308" s="27" t="s">
        <v>534</v>
      </c>
      <c r="B308" s="27" t="s">
        <v>33</v>
      </c>
      <c r="C308">
        <v>9.9700000000000006</v>
      </c>
      <c r="D308">
        <v>10.45</v>
      </c>
      <c r="E308" s="27" t="s">
        <v>535</v>
      </c>
      <c r="F308" s="27"/>
    </row>
    <row r="309" spans="1:6" x14ac:dyDescent="0.3">
      <c r="A309" s="27" t="s">
        <v>537</v>
      </c>
      <c r="B309" s="27" t="s">
        <v>33</v>
      </c>
      <c r="C309">
        <v>284</v>
      </c>
      <c r="D309">
        <v>297.64999999999998</v>
      </c>
      <c r="E309" s="27" t="s">
        <v>535</v>
      </c>
      <c r="F309" s="27"/>
    </row>
    <row r="310" spans="1:6" x14ac:dyDescent="0.3">
      <c r="A310" s="27" t="s">
        <v>540</v>
      </c>
      <c r="B310" s="27" t="s">
        <v>328</v>
      </c>
      <c r="C310">
        <v>28.15</v>
      </c>
      <c r="D310">
        <v>29.5</v>
      </c>
      <c r="E310" s="27" t="s">
        <v>539</v>
      </c>
      <c r="F310" s="27"/>
    </row>
    <row r="311" spans="1:6" x14ac:dyDescent="0.3">
      <c r="A311" s="27" t="s">
        <v>538</v>
      </c>
      <c r="B311" s="27" t="s">
        <v>328</v>
      </c>
      <c r="C311">
        <v>19.8</v>
      </c>
      <c r="D311">
        <v>20.75</v>
      </c>
      <c r="E311" s="27" t="s">
        <v>539</v>
      </c>
      <c r="F311" s="27"/>
    </row>
    <row r="312" spans="1:6" x14ac:dyDescent="0.3">
      <c r="A312" s="27" t="s">
        <v>544</v>
      </c>
      <c r="B312" s="27" t="s">
        <v>29</v>
      </c>
      <c r="C312">
        <v>21.9</v>
      </c>
      <c r="D312">
        <v>22.95</v>
      </c>
      <c r="E312" s="27" t="s">
        <v>542</v>
      </c>
      <c r="F312" s="27"/>
    </row>
    <row r="313" spans="1:6" x14ac:dyDescent="0.3">
      <c r="A313" s="27" t="s">
        <v>545</v>
      </c>
      <c r="B313" s="27" t="s">
        <v>29</v>
      </c>
      <c r="C313">
        <v>65.75</v>
      </c>
      <c r="D313">
        <v>68.900000000000006</v>
      </c>
      <c r="E313" s="27" t="s">
        <v>542</v>
      </c>
      <c r="F313" s="27"/>
    </row>
    <row r="314" spans="1:6" x14ac:dyDescent="0.3">
      <c r="A314" s="27" t="s">
        <v>543</v>
      </c>
      <c r="B314" s="27" t="s">
        <v>29</v>
      </c>
      <c r="C314">
        <v>3.76</v>
      </c>
      <c r="D314">
        <v>3.94</v>
      </c>
      <c r="E314" s="27" t="s">
        <v>542</v>
      </c>
      <c r="F314" s="27"/>
    </row>
    <row r="315" spans="1:6" x14ac:dyDescent="0.3">
      <c r="A315" s="27" t="s">
        <v>546</v>
      </c>
      <c r="B315" s="27" t="s">
        <v>29</v>
      </c>
      <c r="C315">
        <v>4.18</v>
      </c>
      <c r="D315">
        <v>4.38</v>
      </c>
      <c r="E315" s="27" t="s">
        <v>547</v>
      </c>
      <c r="F315" s="27"/>
    </row>
    <row r="316" spans="1:6" x14ac:dyDescent="0.3">
      <c r="A316" s="27" t="s">
        <v>548</v>
      </c>
      <c r="B316" s="27" t="s">
        <v>328</v>
      </c>
      <c r="C316">
        <v>43.9</v>
      </c>
      <c r="D316">
        <v>46</v>
      </c>
      <c r="E316" s="27" t="s">
        <v>547</v>
      </c>
      <c r="F316" s="27"/>
    </row>
    <row r="317" spans="1:6" x14ac:dyDescent="0.3">
      <c r="A317" s="27" t="s">
        <v>551</v>
      </c>
      <c r="B317" s="27" t="s">
        <v>29</v>
      </c>
      <c r="C317">
        <v>36.65</v>
      </c>
      <c r="D317">
        <v>38.4</v>
      </c>
      <c r="E317" s="27" t="s">
        <v>550</v>
      </c>
      <c r="F317" s="27"/>
    </row>
    <row r="318" spans="1:6" x14ac:dyDescent="0.3">
      <c r="A318" s="27" t="s">
        <v>549</v>
      </c>
      <c r="B318" s="27" t="s">
        <v>328</v>
      </c>
      <c r="C318">
        <v>3.98</v>
      </c>
      <c r="D318">
        <v>4.17</v>
      </c>
      <c r="E318" s="27" t="s">
        <v>550</v>
      </c>
      <c r="F318" s="27"/>
    </row>
    <row r="319" spans="1:6" x14ac:dyDescent="0.3">
      <c r="A319" s="27" t="s">
        <v>552</v>
      </c>
      <c r="B319" s="27" t="s">
        <v>10</v>
      </c>
      <c r="C319">
        <v>34.65</v>
      </c>
      <c r="D319">
        <v>36.299999999999997</v>
      </c>
      <c r="E319" s="27" t="s">
        <v>553</v>
      </c>
      <c r="F319" s="27"/>
    </row>
    <row r="320" spans="1:6" x14ac:dyDescent="0.3">
      <c r="A320" s="27" t="s">
        <v>558</v>
      </c>
      <c r="B320" s="27" t="s">
        <v>11</v>
      </c>
      <c r="C320">
        <v>2.1</v>
      </c>
      <c r="D320">
        <v>2.2000000000000002</v>
      </c>
      <c r="E320" s="27" t="s">
        <v>553</v>
      </c>
      <c r="F320" s="27"/>
    </row>
    <row r="321" spans="1:6" x14ac:dyDescent="0.3">
      <c r="A321" s="27" t="s">
        <v>555</v>
      </c>
      <c r="B321" s="27" t="s">
        <v>33</v>
      </c>
      <c r="C321">
        <v>2.52</v>
      </c>
      <c r="D321">
        <v>2.64</v>
      </c>
      <c r="E321" s="27" t="s">
        <v>553</v>
      </c>
      <c r="F321" s="27"/>
    </row>
    <row r="322" spans="1:6" x14ac:dyDescent="0.3">
      <c r="A322" s="27" t="s">
        <v>556</v>
      </c>
      <c r="B322" s="27" t="s">
        <v>33</v>
      </c>
      <c r="C322">
        <v>6.3</v>
      </c>
      <c r="D322">
        <v>6.6</v>
      </c>
      <c r="E322" s="27" t="s">
        <v>553</v>
      </c>
      <c r="F322" s="27"/>
    </row>
    <row r="323" spans="1:6" x14ac:dyDescent="0.3">
      <c r="A323" s="27" t="s">
        <v>554</v>
      </c>
      <c r="B323" s="27" t="s">
        <v>328</v>
      </c>
      <c r="C323">
        <v>17.850000000000001</v>
      </c>
      <c r="D323">
        <v>18.7</v>
      </c>
      <c r="E323" s="27" t="s">
        <v>553</v>
      </c>
      <c r="F323" s="27"/>
    </row>
    <row r="324" spans="1:6" x14ac:dyDescent="0.3">
      <c r="A324" s="27" t="s">
        <v>557</v>
      </c>
      <c r="B324" s="27" t="s">
        <v>328</v>
      </c>
      <c r="C324">
        <v>2.73</v>
      </c>
      <c r="D324">
        <v>2.86</v>
      </c>
      <c r="E324" s="27" t="s">
        <v>553</v>
      </c>
      <c r="F324" s="27"/>
    </row>
    <row r="325" spans="1:6" x14ac:dyDescent="0.3">
      <c r="A325" s="27" t="s">
        <v>562</v>
      </c>
      <c r="B325" s="27" t="s">
        <v>328</v>
      </c>
      <c r="C325">
        <v>14.75</v>
      </c>
      <c r="D325">
        <v>15.45</v>
      </c>
      <c r="E325" s="27" t="s">
        <v>560</v>
      </c>
      <c r="F325" s="27"/>
    </row>
    <row r="326" spans="1:6" x14ac:dyDescent="0.3">
      <c r="A326" s="27" t="s">
        <v>559</v>
      </c>
      <c r="B326" s="27" t="s">
        <v>33</v>
      </c>
      <c r="C326">
        <v>2.95</v>
      </c>
      <c r="D326">
        <v>3.09</v>
      </c>
      <c r="E326" s="27" t="s">
        <v>560</v>
      </c>
      <c r="F326" s="27"/>
    </row>
    <row r="327" spans="1:6" x14ac:dyDescent="0.3">
      <c r="A327" s="27" t="s">
        <v>561</v>
      </c>
      <c r="B327" s="27" t="s">
        <v>33</v>
      </c>
      <c r="C327">
        <v>18.95</v>
      </c>
      <c r="D327">
        <v>19.850000000000001</v>
      </c>
      <c r="E327" s="27" t="s">
        <v>560</v>
      </c>
      <c r="F327" s="27"/>
    </row>
    <row r="328" spans="1:6" x14ac:dyDescent="0.3">
      <c r="A328" s="27" t="s">
        <v>563</v>
      </c>
      <c r="B328" s="27" t="s">
        <v>328</v>
      </c>
      <c r="C328">
        <v>2.74</v>
      </c>
      <c r="D328">
        <v>2.87</v>
      </c>
      <c r="E328" s="27" t="s">
        <v>564</v>
      </c>
      <c r="F328" s="27"/>
    </row>
    <row r="329" spans="1:6" x14ac:dyDescent="0.3">
      <c r="A329" s="27" t="s">
        <v>565</v>
      </c>
      <c r="B329" s="27" t="s">
        <v>11</v>
      </c>
      <c r="C329">
        <v>27.4</v>
      </c>
      <c r="D329">
        <v>28.7</v>
      </c>
      <c r="E329" s="27" t="s">
        <v>564</v>
      </c>
      <c r="F329" s="27"/>
    </row>
    <row r="330" spans="1:6" x14ac:dyDescent="0.3">
      <c r="A330" s="27" t="s">
        <v>566</v>
      </c>
      <c r="B330" s="27" t="s">
        <v>328</v>
      </c>
      <c r="C330">
        <v>14.8</v>
      </c>
      <c r="D330">
        <v>15.5</v>
      </c>
      <c r="E330" s="27" t="s">
        <v>567</v>
      </c>
      <c r="F330" s="27"/>
    </row>
    <row r="331" spans="1:6" x14ac:dyDescent="0.3">
      <c r="A331" s="27" t="s">
        <v>568</v>
      </c>
      <c r="B331" s="27" t="s">
        <v>11</v>
      </c>
      <c r="C331">
        <v>21.15</v>
      </c>
      <c r="D331">
        <v>22.15</v>
      </c>
      <c r="E331" s="27" t="s">
        <v>567</v>
      </c>
      <c r="F331" s="27"/>
    </row>
    <row r="332" spans="1:6" x14ac:dyDescent="0.3">
      <c r="A332" s="27" t="s">
        <v>569</v>
      </c>
      <c r="B332" s="27" t="s">
        <v>33</v>
      </c>
      <c r="C332">
        <v>15.9</v>
      </c>
      <c r="D332">
        <v>16.649999999999999</v>
      </c>
      <c r="E332" s="27" t="s">
        <v>570</v>
      </c>
      <c r="F332" s="27"/>
    </row>
    <row r="333" spans="1:6" x14ac:dyDescent="0.3">
      <c r="A333" s="27" t="s">
        <v>573</v>
      </c>
      <c r="B333" s="27" t="s">
        <v>11</v>
      </c>
      <c r="C333">
        <v>18</v>
      </c>
      <c r="D333">
        <v>18.850000000000001</v>
      </c>
      <c r="E333" s="27" t="s">
        <v>570</v>
      </c>
      <c r="F333" s="27"/>
    </row>
    <row r="334" spans="1:6" x14ac:dyDescent="0.3">
      <c r="A334" s="27" t="s">
        <v>572</v>
      </c>
      <c r="B334" s="27" t="s">
        <v>29</v>
      </c>
      <c r="C334">
        <v>26.5</v>
      </c>
      <c r="D334">
        <v>27.75</v>
      </c>
      <c r="E334" s="27" t="s">
        <v>570</v>
      </c>
      <c r="F334" s="27"/>
    </row>
    <row r="335" spans="1:6" x14ac:dyDescent="0.3">
      <c r="A335" s="27" t="s">
        <v>574</v>
      </c>
      <c r="B335" s="27" t="s">
        <v>10</v>
      </c>
      <c r="C335">
        <v>408.05</v>
      </c>
      <c r="D335">
        <v>427.3</v>
      </c>
      <c r="E335" s="27" t="s">
        <v>570</v>
      </c>
      <c r="F335" s="27"/>
    </row>
    <row r="336" spans="1:6" x14ac:dyDescent="0.3">
      <c r="A336" s="27" t="s">
        <v>571</v>
      </c>
      <c r="B336" s="27" t="s">
        <v>33</v>
      </c>
      <c r="C336">
        <v>3.39</v>
      </c>
      <c r="D336">
        <v>3.55</v>
      </c>
      <c r="E336" s="27" t="s">
        <v>570</v>
      </c>
      <c r="F336" s="27"/>
    </row>
    <row r="337" spans="1:6" x14ac:dyDescent="0.3">
      <c r="A337" s="27" t="s">
        <v>575</v>
      </c>
      <c r="B337" s="27" t="s">
        <v>29</v>
      </c>
      <c r="C337">
        <v>2.76</v>
      </c>
      <c r="D337">
        <v>2.89</v>
      </c>
      <c r="E337" s="27" t="s">
        <v>576</v>
      </c>
      <c r="F337" s="27"/>
    </row>
    <row r="338" spans="1:6" x14ac:dyDescent="0.3">
      <c r="A338" s="27" t="s">
        <v>3341</v>
      </c>
      <c r="B338" s="27" t="s">
        <v>33</v>
      </c>
      <c r="C338">
        <v>24.4</v>
      </c>
      <c r="D338">
        <v>25.55</v>
      </c>
      <c r="E338" s="27" t="s">
        <v>576</v>
      </c>
      <c r="F338" s="27"/>
    </row>
    <row r="339" spans="1:6" x14ac:dyDescent="0.3">
      <c r="A339" s="27" t="s">
        <v>577</v>
      </c>
      <c r="B339" s="27" t="s">
        <v>11</v>
      </c>
      <c r="C339">
        <v>564</v>
      </c>
      <c r="D339">
        <v>590.5</v>
      </c>
      <c r="E339" s="27" t="s">
        <v>578</v>
      </c>
      <c r="F339" s="27"/>
    </row>
    <row r="340" spans="1:6" x14ac:dyDescent="0.3">
      <c r="A340" s="27" t="s">
        <v>581</v>
      </c>
      <c r="B340" s="27" t="s">
        <v>328</v>
      </c>
      <c r="C340">
        <v>2.77</v>
      </c>
      <c r="D340">
        <v>2.9</v>
      </c>
      <c r="E340" s="27" t="s">
        <v>580</v>
      </c>
      <c r="F340" s="27"/>
    </row>
    <row r="341" spans="1:6" x14ac:dyDescent="0.3">
      <c r="A341" s="27" t="s">
        <v>450</v>
      </c>
      <c r="B341" s="27" t="s">
        <v>10</v>
      </c>
      <c r="C341">
        <v>1722.45</v>
      </c>
      <c r="D341">
        <v>1803</v>
      </c>
      <c r="E341" s="27" t="s">
        <v>583</v>
      </c>
      <c r="F341" s="27"/>
    </row>
    <row r="342" spans="1:6" x14ac:dyDescent="0.3">
      <c r="A342" s="27" t="s">
        <v>653</v>
      </c>
      <c r="B342" s="27" t="s">
        <v>328</v>
      </c>
      <c r="C342">
        <v>17.100000000000001</v>
      </c>
      <c r="D342">
        <v>17.899999999999999</v>
      </c>
      <c r="E342" s="27" t="s">
        <v>583</v>
      </c>
      <c r="F342" s="27"/>
    </row>
    <row r="343" spans="1:6" x14ac:dyDescent="0.3">
      <c r="A343" s="27" t="s">
        <v>622</v>
      </c>
      <c r="B343" s="27" t="s">
        <v>10</v>
      </c>
      <c r="C343">
        <v>28.85</v>
      </c>
      <c r="D343">
        <v>30.2</v>
      </c>
      <c r="E343" s="27" t="s">
        <v>583</v>
      </c>
      <c r="F343" s="27"/>
    </row>
    <row r="344" spans="1:6" x14ac:dyDescent="0.3">
      <c r="A344" s="27" t="s">
        <v>586</v>
      </c>
      <c r="B344" s="27" t="s">
        <v>328</v>
      </c>
      <c r="C344">
        <v>13.49</v>
      </c>
      <c r="D344">
        <v>14.12</v>
      </c>
      <c r="E344" s="27" t="s">
        <v>585</v>
      </c>
      <c r="F344" s="27"/>
    </row>
    <row r="345" spans="1:6" x14ac:dyDescent="0.3">
      <c r="A345" s="27" t="s">
        <v>584</v>
      </c>
      <c r="B345" s="27" t="s">
        <v>328</v>
      </c>
      <c r="C345">
        <v>3</v>
      </c>
      <c r="D345">
        <v>3.14</v>
      </c>
      <c r="E345" s="27" t="s">
        <v>585</v>
      </c>
      <c r="F345" s="27"/>
    </row>
    <row r="346" spans="1:6" x14ac:dyDescent="0.3">
      <c r="A346" s="27" t="s">
        <v>590</v>
      </c>
      <c r="B346" s="27" t="s">
        <v>33</v>
      </c>
      <c r="C346">
        <v>40.799999999999997</v>
      </c>
      <c r="D346">
        <v>42.7</v>
      </c>
      <c r="E346" s="27" t="s">
        <v>589</v>
      </c>
      <c r="F346" s="27"/>
    </row>
    <row r="347" spans="1:6" x14ac:dyDescent="0.3">
      <c r="A347" s="27" t="s">
        <v>455</v>
      </c>
      <c r="B347" s="27" t="s">
        <v>33</v>
      </c>
      <c r="C347">
        <v>55.8</v>
      </c>
      <c r="D347">
        <v>58.4</v>
      </c>
      <c r="E347" s="27" t="s">
        <v>589</v>
      </c>
      <c r="F347" s="27"/>
    </row>
    <row r="348" spans="1:6" x14ac:dyDescent="0.3">
      <c r="A348" s="27" t="s">
        <v>588</v>
      </c>
      <c r="B348" s="27" t="s">
        <v>33</v>
      </c>
      <c r="C348">
        <v>94.4</v>
      </c>
      <c r="D348">
        <v>98.8</v>
      </c>
      <c r="E348" s="27" t="s">
        <v>589</v>
      </c>
      <c r="F348" s="27"/>
    </row>
    <row r="349" spans="1:6" x14ac:dyDescent="0.3">
      <c r="A349" s="27" t="s">
        <v>320</v>
      </c>
      <c r="B349" s="27" t="s">
        <v>11</v>
      </c>
      <c r="C349">
        <v>117.95</v>
      </c>
      <c r="D349">
        <v>123.45</v>
      </c>
      <c r="E349" s="27" t="s">
        <v>589</v>
      </c>
      <c r="F349" s="27"/>
    </row>
    <row r="350" spans="1:6" x14ac:dyDescent="0.3">
      <c r="A350" s="27" t="s">
        <v>591</v>
      </c>
      <c r="B350" s="27" t="s">
        <v>11</v>
      </c>
      <c r="C350">
        <v>21.5</v>
      </c>
      <c r="D350">
        <v>22.5</v>
      </c>
      <c r="E350" s="27" t="s">
        <v>592</v>
      </c>
      <c r="F350" s="27"/>
    </row>
    <row r="351" spans="1:6" x14ac:dyDescent="0.3">
      <c r="A351" s="27" t="s">
        <v>593</v>
      </c>
      <c r="B351" s="27" t="s">
        <v>33</v>
      </c>
      <c r="C351">
        <v>5.16</v>
      </c>
      <c r="D351">
        <v>5.4</v>
      </c>
      <c r="E351" s="27" t="s">
        <v>592</v>
      </c>
      <c r="F351" s="27"/>
    </row>
    <row r="352" spans="1:6" x14ac:dyDescent="0.3">
      <c r="A352" s="27" t="s">
        <v>594</v>
      </c>
      <c r="B352" s="27" t="s">
        <v>328</v>
      </c>
      <c r="C352">
        <v>3.88</v>
      </c>
      <c r="D352">
        <v>4.0599999999999996</v>
      </c>
      <c r="E352" s="27" t="s">
        <v>595</v>
      </c>
      <c r="F352" s="27"/>
    </row>
    <row r="353" spans="1:6" x14ac:dyDescent="0.3">
      <c r="A353" s="27" t="s">
        <v>596</v>
      </c>
      <c r="B353" s="27" t="s">
        <v>33</v>
      </c>
      <c r="C353">
        <v>190.95</v>
      </c>
      <c r="D353">
        <v>199.8</v>
      </c>
      <c r="E353" s="27" t="s">
        <v>597</v>
      </c>
      <c r="F353" s="27"/>
    </row>
    <row r="354" spans="1:6" x14ac:dyDescent="0.3">
      <c r="A354" s="27" t="s">
        <v>3342</v>
      </c>
      <c r="B354" s="27" t="s">
        <v>29</v>
      </c>
      <c r="C354">
        <v>27</v>
      </c>
      <c r="D354">
        <v>28.25</v>
      </c>
      <c r="E354" s="27" t="s">
        <v>597</v>
      </c>
      <c r="F354" s="27"/>
    </row>
    <row r="355" spans="1:6" x14ac:dyDescent="0.3">
      <c r="A355" s="27" t="s">
        <v>601</v>
      </c>
      <c r="B355" s="27" t="s">
        <v>328</v>
      </c>
      <c r="C355">
        <v>57.3</v>
      </c>
      <c r="D355">
        <v>59.95</v>
      </c>
      <c r="E355" s="27" t="s">
        <v>599</v>
      </c>
      <c r="F355" s="27"/>
    </row>
    <row r="356" spans="1:6" x14ac:dyDescent="0.3">
      <c r="A356" s="27" t="s">
        <v>598</v>
      </c>
      <c r="B356" s="27" t="s">
        <v>33</v>
      </c>
      <c r="C356">
        <v>6.06</v>
      </c>
      <c r="D356">
        <v>6.34</v>
      </c>
      <c r="E356" s="27" t="s">
        <v>599</v>
      </c>
      <c r="F356" s="27"/>
    </row>
    <row r="357" spans="1:6" x14ac:dyDescent="0.3">
      <c r="A357" s="27" t="s">
        <v>600</v>
      </c>
      <c r="B357" s="27" t="s">
        <v>10</v>
      </c>
      <c r="C357">
        <v>1519.75</v>
      </c>
      <c r="D357">
        <v>1590</v>
      </c>
      <c r="E357" s="27" t="s">
        <v>599</v>
      </c>
      <c r="F357" s="27"/>
    </row>
    <row r="358" spans="1:6" x14ac:dyDescent="0.3">
      <c r="A358" s="27" t="s">
        <v>602</v>
      </c>
      <c r="B358" s="27" t="s">
        <v>33</v>
      </c>
      <c r="C358">
        <v>58.6</v>
      </c>
      <c r="D358">
        <v>61.3</v>
      </c>
      <c r="E358" s="27" t="s">
        <v>603</v>
      </c>
      <c r="F358" s="27"/>
    </row>
    <row r="359" spans="1:6" x14ac:dyDescent="0.3">
      <c r="A359" s="27" t="s">
        <v>609</v>
      </c>
      <c r="B359" s="27" t="s">
        <v>35</v>
      </c>
      <c r="C359">
        <v>2.1800000000000002</v>
      </c>
      <c r="D359">
        <v>2.2799999999999998</v>
      </c>
      <c r="E359" s="27" t="s">
        <v>607</v>
      </c>
      <c r="F359" s="27"/>
    </row>
    <row r="360" spans="1:6" x14ac:dyDescent="0.3">
      <c r="A360" s="27" t="s">
        <v>606</v>
      </c>
      <c r="B360" s="27" t="s">
        <v>33</v>
      </c>
      <c r="C360">
        <v>10.9</v>
      </c>
      <c r="D360">
        <v>11.4</v>
      </c>
      <c r="E360" s="27" t="s">
        <v>607</v>
      </c>
      <c r="F360" s="27"/>
    </row>
    <row r="361" spans="1:6" x14ac:dyDescent="0.3">
      <c r="A361" s="27" t="s">
        <v>613</v>
      </c>
      <c r="B361" s="27" t="s">
        <v>328</v>
      </c>
      <c r="C361">
        <v>1.31</v>
      </c>
      <c r="D361">
        <v>1.37</v>
      </c>
      <c r="E361" s="27" t="s">
        <v>611</v>
      </c>
      <c r="F361" s="27"/>
    </row>
    <row r="362" spans="1:6" x14ac:dyDescent="0.3">
      <c r="A362" s="27" t="s">
        <v>610</v>
      </c>
      <c r="B362" s="27" t="s">
        <v>11</v>
      </c>
      <c r="C362">
        <v>30.6</v>
      </c>
      <c r="D362">
        <v>32</v>
      </c>
      <c r="E362" s="27" t="s">
        <v>611</v>
      </c>
      <c r="F362" s="27"/>
    </row>
    <row r="363" spans="1:6" x14ac:dyDescent="0.3">
      <c r="A363" s="27" t="s">
        <v>608</v>
      </c>
      <c r="B363" s="27" t="s">
        <v>10</v>
      </c>
      <c r="C363">
        <v>232.25</v>
      </c>
      <c r="D363">
        <v>242.85</v>
      </c>
      <c r="E363" s="27" t="s">
        <v>3343</v>
      </c>
      <c r="F363" s="27"/>
    </row>
    <row r="364" spans="1:6" x14ac:dyDescent="0.3">
      <c r="A364" s="27" t="s">
        <v>614</v>
      </c>
      <c r="B364" s="27" t="s">
        <v>328</v>
      </c>
      <c r="C364">
        <v>5.73</v>
      </c>
      <c r="D364">
        <v>5.99</v>
      </c>
      <c r="E364" s="27" t="s">
        <v>615</v>
      </c>
      <c r="F364" s="27"/>
    </row>
    <row r="365" spans="1:6" x14ac:dyDescent="0.3">
      <c r="A365" s="27" t="s">
        <v>726</v>
      </c>
      <c r="B365" s="27" t="s">
        <v>33</v>
      </c>
      <c r="C365">
        <v>92.75</v>
      </c>
      <c r="D365">
        <v>96.95</v>
      </c>
      <c r="E365" s="27" t="s">
        <v>3344</v>
      </c>
      <c r="F365" s="27"/>
    </row>
    <row r="366" spans="1:6" x14ac:dyDescent="0.3">
      <c r="A366" s="27" t="s">
        <v>423</v>
      </c>
      <c r="B366" s="27" t="s">
        <v>11</v>
      </c>
      <c r="C366">
        <v>127.25</v>
      </c>
      <c r="D366">
        <v>133</v>
      </c>
      <c r="E366" s="27" t="s">
        <v>618</v>
      </c>
      <c r="F366" s="27"/>
    </row>
    <row r="367" spans="1:6" x14ac:dyDescent="0.3">
      <c r="A367" s="27" t="s">
        <v>612</v>
      </c>
      <c r="B367" s="27" t="s">
        <v>10</v>
      </c>
      <c r="C367">
        <v>166.05</v>
      </c>
      <c r="D367">
        <v>173.55</v>
      </c>
      <c r="E367" s="27" t="s">
        <v>618</v>
      </c>
      <c r="F367" s="27"/>
    </row>
    <row r="368" spans="1:6" x14ac:dyDescent="0.3">
      <c r="A368" s="27" t="s">
        <v>617</v>
      </c>
      <c r="B368" s="27" t="s">
        <v>328</v>
      </c>
      <c r="C368">
        <v>1.99</v>
      </c>
      <c r="D368">
        <v>2.08</v>
      </c>
      <c r="E368" s="27" t="s">
        <v>618</v>
      </c>
      <c r="F368" s="27"/>
    </row>
    <row r="369" spans="1:6" x14ac:dyDescent="0.3">
      <c r="A369" s="27" t="s">
        <v>621</v>
      </c>
      <c r="B369" s="27" t="s">
        <v>33</v>
      </c>
      <c r="C369">
        <v>84.2</v>
      </c>
      <c r="D369">
        <v>88</v>
      </c>
      <c r="E369" s="27" t="s">
        <v>620</v>
      </c>
      <c r="F369" s="27"/>
    </row>
    <row r="370" spans="1:6" x14ac:dyDescent="0.3">
      <c r="A370" s="27" t="s">
        <v>619</v>
      </c>
      <c r="B370" s="27" t="s">
        <v>33</v>
      </c>
      <c r="C370">
        <v>13.3</v>
      </c>
      <c r="D370">
        <v>13.9</v>
      </c>
      <c r="E370" s="27" t="s">
        <v>620</v>
      </c>
      <c r="F370" s="27"/>
    </row>
    <row r="371" spans="1:6" x14ac:dyDescent="0.3">
      <c r="A371" s="27" t="s">
        <v>625</v>
      </c>
      <c r="B371" s="27" t="s">
        <v>328</v>
      </c>
      <c r="C371">
        <v>23.35</v>
      </c>
      <c r="D371">
        <v>24.4</v>
      </c>
      <c r="E371" s="27" t="s">
        <v>624</v>
      </c>
      <c r="F371" s="27"/>
    </row>
    <row r="372" spans="1:6" x14ac:dyDescent="0.3">
      <c r="A372" s="27" t="s">
        <v>623</v>
      </c>
      <c r="B372" s="27" t="s">
        <v>33</v>
      </c>
      <c r="C372">
        <v>2</v>
      </c>
      <c r="D372">
        <v>2.09</v>
      </c>
      <c r="E372" s="27" t="s">
        <v>624</v>
      </c>
      <c r="F372" s="27"/>
    </row>
    <row r="373" spans="1:6" x14ac:dyDescent="0.3">
      <c r="A373" s="27" t="s">
        <v>456</v>
      </c>
      <c r="B373" s="27" t="s">
        <v>10</v>
      </c>
      <c r="C373">
        <v>427.9</v>
      </c>
      <c r="D373">
        <v>447.15</v>
      </c>
      <c r="E373" s="27" t="s">
        <v>624</v>
      </c>
      <c r="F373" s="27"/>
    </row>
    <row r="374" spans="1:6" x14ac:dyDescent="0.3">
      <c r="A374" s="27" t="s">
        <v>628</v>
      </c>
      <c r="B374" s="27" t="s">
        <v>328</v>
      </c>
      <c r="C374">
        <v>42.3</v>
      </c>
      <c r="D374">
        <v>44.2</v>
      </c>
      <c r="E374" s="27" t="s">
        <v>627</v>
      </c>
      <c r="F374" s="27"/>
    </row>
    <row r="375" spans="1:6" x14ac:dyDescent="0.3">
      <c r="A375" s="27" t="s">
        <v>626</v>
      </c>
      <c r="B375" s="27" t="s">
        <v>33</v>
      </c>
      <c r="C375">
        <v>15.6</v>
      </c>
      <c r="D375">
        <v>16.3</v>
      </c>
      <c r="E375" s="27" t="s">
        <v>627</v>
      </c>
      <c r="F375" s="27"/>
    </row>
    <row r="376" spans="1:6" x14ac:dyDescent="0.3">
      <c r="A376" s="27" t="s">
        <v>630</v>
      </c>
      <c r="B376" s="27" t="s">
        <v>328</v>
      </c>
      <c r="C376">
        <v>3.35</v>
      </c>
      <c r="D376">
        <v>3.5</v>
      </c>
      <c r="E376" s="27" t="s">
        <v>631</v>
      </c>
      <c r="F376" s="27"/>
    </row>
    <row r="377" spans="1:6" x14ac:dyDescent="0.3">
      <c r="A377" s="27" t="s">
        <v>645</v>
      </c>
      <c r="B377" s="27" t="s">
        <v>10</v>
      </c>
      <c r="C377">
        <v>137.25</v>
      </c>
      <c r="D377">
        <v>143.4</v>
      </c>
      <c r="E377" s="27" t="s">
        <v>631</v>
      </c>
      <c r="F377" s="27"/>
    </row>
    <row r="378" spans="1:6" x14ac:dyDescent="0.3">
      <c r="A378" s="27" t="s">
        <v>632</v>
      </c>
      <c r="B378" s="27" t="s">
        <v>328</v>
      </c>
      <c r="C378">
        <v>1.79</v>
      </c>
      <c r="D378">
        <v>1.87</v>
      </c>
      <c r="E378" s="27" t="s">
        <v>633</v>
      </c>
      <c r="F378" s="27"/>
    </row>
    <row r="379" spans="1:6" x14ac:dyDescent="0.3">
      <c r="A379" s="27" t="s">
        <v>634</v>
      </c>
      <c r="B379" s="27" t="s">
        <v>11</v>
      </c>
      <c r="C379">
        <v>72.75</v>
      </c>
      <c r="D379">
        <v>76</v>
      </c>
      <c r="E379" s="27" t="s">
        <v>633</v>
      </c>
      <c r="F379" s="27"/>
    </row>
    <row r="380" spans="1:6" x14ac:dyDescent="0.3">
      <c r="A380" s="27" t="s">
        <v>635</v>
      </c>
      <c r="B380" s="27" t="s">
        <v>35</v>
      </c>
      <c r="C380">
        <v>1.79</v>
      </c>
      <c r="D380">
        <v>1.87</v>
      </c>
      <c r="E380" s="27" t="s">
        <v>633</v>
      </c>
      <c r="F380" s="27"/>
    </row>
    <row r="381" spans="1:6" x14ac:dyDescent="0.3">
      <c r="A381" s="27" t="s">
        <v>636</v>
      </c>
      <c r="B381" s="27" t="s">
        <v>328</v>
      </c>
      <c r="C381">
        <v>0.45</v>
      </c>
      <c r="D381">
        <v>0.47</v>
      </c>
      <c r="E381" s="27" t="s">
        <v>637</v>
      </c>
      <c r="F381" s="27"/>
    </row>
    <row r="382" spans="1:6" x14ac:dyDescent="0.3">
      <c r="A382" s="27" t="s">
        <v>640</v>
      </c>
      <c r="B382" s="27" t="s">
        <v>22</v>
      </c>
      <c r="C382">
        <v>4.74</v>
      </c>
      <c r="D382">
        <v>4.95</v>
      </c>
      <c r="E382" s="27" t="s">
        <v>639</v>
      </c>
      <c r="F382" s="27"/>
    </row>
    <row r="383" spans="1:6" x14ac:dyDescent="0.3">
      <c r="A383" s="27" t="s">
        <v>638</v>
      </c>
      <c r="B383" s="27" t="s">
        <v>11</v>
      </c>
      <c r="C383">
        <v>74.5</v>
      </c>
      <c r="D383">
        <v>77.8</v>
      </c>
      <c r="E383" s="27" t="s">
        <v>639</v>
      </c>
      <c r="F383" s="27"/>
    </row>
    <row r="384" spans="1:6" x14ac:dyDescent="0.3">
      <c r="A384" s="27" t="s">
        <v>641</v>
      </c>
      <c r="B384" s="27" t="s">
        <v>33</v>
      </c>
      <c r="C384">
        <v>639.75</v>
      </c>
      <c r="D384">
        <v>668</v>
      </c>
      <c r="E384" s="27" t="s">
        <v>642</v>
      </c>
      <c r="F384" s="27"/>
    </row>
    <row r="385" spans="1:6" x14ac:dyDescent="0.3">
      <c r="A385" s="27" t="s">
        <v>649</v>
      </c>
      <c r="B385" s="27" t="s">
        <v>33</v>
      </c>
      <c r="C385">
        <v>4.55</v>
      </c>
      <c r="D385">
        <v>4.75</v>
      </c>
      <c r="E385" s="27" t="s">
        <v>647</v>
      </c>
      <c r="F385" s="27"/>
    </row>
    <row r="386" spans="1:6" x14ac:dyDescent="0.3">
      <c r="A386" s="27" t="s">
        <v>434</v>
      </c>
      <c r="B386" s="27" t="s">
        <v>10</v>
      </c>
      <c r="C386">
        <v>81.8</v>
      </c>
      <c r="D386">
        <v>85.4</v>
      </c>
      <c r="E386" s="27" t="s">
        <v>647</v>
      </c>
      <c r="F386" s="27"/>
    </row>
    <row r="387" spans="1:6" x14ac:dyDescent="0.3">
      <c r="A387" s="27" t="s">
        <v>648</v>
      </c>
      <c r="B387" s="27" t="s">
        <v>33</v>
      </c>
      <c r="C387">
        <v>189.65</v>
      </c>
      <c r="D387">
        <v>198</v>
      </c>
      <c r="E387" s="27" t="s">
        <v>647</v>
      </c>
      <c r="F387" s="27"/>
    </row>
    <row r="388" spans="1:6" x14ac:dyDescent="0.3">
      <c r="A388" s="27" t="s">
        <v>646</v>
      </c>
      <c r="B388" s="27" t="s">
        <v>33</v>
      </c>
      <c r="C388">
        <v>18.2</v>
      </c>
      <c r="D388">
        <v>19</v>
      </c>
      <c r="E388" s="27" t="s">
        <v>647</v>
      </c>
      <c r="F388" s="27"/>
    </row>
    <row r="389" spans="1:6" x14ac:dyDescent="0.3">
      <c r="A389" s="27" t="s">
        <v>652</v>
      </c>
      <c r="B389" s="27" t="s">
        <v>33</v>
      </c>
      <c r="C389">
        <v>3.87</v>
      </c>
      <c r="D389">
        <v>4.04</v>
      </c>
      <c r="E389" s="27" t="s">
        <v>651</v>
      </c>
      <c r="F389" s="27"/>
    </row>
    <row r="390" spans="1:6" x14ac:dyDescent="0.3">
      <c r="A390" s="27" t="s">
        <v>650</v>
      </c>
      <c r="B390" s="27" t="s">
        <v>10</v>
      </c>
      <c r="C390">
        <v>1976.4</v>
      </c>
      <c r="D390">
        <v>2063.1</v>
      </c>
      <c r="E390" s="27" t="s">
        <v>651</v>
      </c>
      <c r="F390" s="27"/>
    </row>
    <row r="391" spans="1:6" x14ac:dyDescent="0.3">
      <c r="A391" s="27" t="s">
        <v>2339</v>
      </c>
      <c r="B391" s="27" t="s">
        <v>22</v>
      </c>
      <c r="C391">
        <v>39.950000000000003</v>
      </c>
      <c r="D391">
        <v>41.7</v>
      </c>
      <c r="E391" s="27" t="s">
        <v>655</v>
      </c>
      <c r="F391" s="27"/>
    </row>
    <row r="392" spans="1:6" x14ac:dyDescent="0.3">
      <c r="A392" s="27" t="s">
        <v>654</v>
      </c>
      <c r="B392" s="27" t="s">
        <v>11</v>
      </c>
      <c r="C392">
        <v>21.7</v>
      </c>
      <c r="D392">
        <v>22.65</v>
      </c>
      <c r="E392" s="27" t="s">
        <v>655</v>
      </c>
      <c r="F392" s="27"/>
    </row>
    <row r="393" spans="1:6" x14ac:dyDescent="0.3">
      <c r="A393" s="27" t="s">
        <v>889</v>
      </c>
      <c r="B393" s="27" t="s">
        <v>33</v>
      </c>
      <c r="C393">
        <v>171.3</v>
      </c>
      <c r="D393">
        <v>178.8</v>
      </c>
      <c r="E393" s="27" t="s">
        <v>655</v>
      </c>
      <c r="F393" s="27"/>
    </row>
    <row r="394" spans="1:6" x14ac:dyDescent="0.3">
      <c r="A394" s="27" t="s">
        <v>656</v>
      </c>
      <c r="B394" s="27" t="s">
        <v>33</v>
      </c>
      <c r="C394">
        <v>287.45</v>
      </c>
      <c r="D394">
        <v>300</v>
      </c>
      <c r="E394" s="27" t="s">
        <v>657</v>
      </c>
      <c r="F394" s="27"/>
    </row>
    <row r="395" spans="1:6" x14ac:dyDescent="0.3">
      <c r="A395" s="27" t="s">
        <v>604</v>
      </c>
      <c r="B395" s="27" t="s">
        <v>10</v>
      </c>
      <c r="C395">
        <v>8.4600000000000009</v>
      </c>
      <c r="D395">
        <v>8.83</v>
      </c>
      <c r="E395" s="27" t="s">
        <v>657</v>
      </c>
      <c r="F395" s="27"/>
    </row>
    <row r="396" spans="1:6" x14ac:dyDescent="0.3">
      <c r="A396" s="27" t="s">
        <v>1248</v>
      </c>
      <c r="B396" s="27" t="s">
        <v>33</v>
      </c>
      <c r="C396">
        <v>99.45</v>
      </c>
      <c r="D396">
        <v>103.8</v>
      </c>
      <c r="E396" s="27" t="s">
        <v>657</v>
      </c>
      <c r="F396" s="27"/>
    </row>
    <row r="397" spans="1:6" x14ac:dyDescent="0.3">
      <c r="A397" s="27" t="s">
        <v>658</v>
      </c>
      <c r="B397" s="27" t="s">
        <v>10</v>
      </c>
      <c r="C397">
        <v>91.5</v>
      </c>
      <c r="D397">
        <v>95.5</v>
      </c>
      <c r="E397" s="27" t="s">
        <v>657</v>
      </c>
      <c r="F397" s="27"/>
    </row>
    <row r="398" spans="1:6" x14ac:dyDescent="0.3">
      <c r="A398" s="27" t="s">
        <v>661</v>
      </c>
      <c r="B398" s="27" t="s">
        <v>11</v>
      </c>
      <c r="C398">
        <v>19.5</v>
      </c>
      <c r="D398">
        <v>20.350000000000001</v>
      </c>
      <c r="E398" s="27" t="s">
        <v>660</v>
      </c>
      <c r="F398" s="27"/>
    </row>
    <row r="399" spans="1:6" x14ac:dyDescent="0.3">
      <c r="A399" s="27" t="s">
        <v>659</v>
      </c>
      <c r="B399" s="27" t="s">
        <v>33</v>
      </c>
      <c r="C399">
        <v>8.49</v>
      </c>
      <c r="D399">
        <v>8.86</v>
      </c>
      <c r="E399" s="27" t="s">
        <v>660</v>
      </c>
      <c r="F399" s="27"/>
    </row>
    <row r="400" spans="1:6" x14ac:dyDescent="0.3">
      <c r="A400" s="27" t="s">
        <v>665</v>
      </c>
      <c r="B400" s="27" t="s">
        <v>29</v>
      </c>
      <c r="C400">
        <v>0.92</v>
      </c>
      <c r="D400">
        <v>0.96</v>
      </c>
      <c r="E400" s="27" t="s">
        <v>664</v>
      </c>
      <c r="F400" s="27"/>
    </row>
    <row r="401" spans="1:6" x14ac:dyDescent="0.3">
      <c r="A401" s="27" t="s">
        <v>3345</v>
      </c>
      <c r="B401" s="27" t="s">
        <v>33</v>
      </c>
      <c r="C401">
        <v>15</v>
      </c>
      <c r="D401">
        <v>15.65</v>
      </c>
      <c r="E401" s="27" t="s">
        <v>667</v>
      </c>
      <c r="F401" s="27"/>
    </row>
    <row r="402" spans="1:6" x14ac:dyDescent="0.3">
      <c r="A402" s="27" t="s">
        <v>666</v>
      </c>
      <c r="B402" s="27" t="s">
        <v>328</v>
      </c>
      <c r="C402">
        <v>11.31</v>
      </c>
      <c r="D402">
        <v>11.8</v>
      </c>
      <c r="E402" s="27" t="s">
        <v>667</v>
      </c>
      <c r="F402" s="27"/>
    </row>
    <row r="403" spans="1:6" x14ac:dyDescent="0.3">
      <c r="A403" s="27" t="s">
        <v>3346</v>
      </c>
      <c r="B403" s="27" t="s">
        <v>11</v>
      </c>
      <c r="C403">
        <v>0.93</v>
      </c>
      <c r="D403">
        <v>0.97</v>
      </c>
      <c r="E403" s="27" t="s">
        <v>670</v>
      </c>
      <c r="F403" s="27"/>
    </row>
    <row r="404" spans="1:6" x14ac:dyDescent="0.3">
      <c r="A404" s="27" t="s">
        <v>727</v>
      </c>
      <c r="B404" s="27" t="s">
        <v>11</v>
      </c>
      <c r="C404">
        <v>38.35</v>
      </c>
      <c r="D404">
        <v>40</v>
      </c>
      <c r="E404" s="27" t="s">
        <v>670</v>
      </c>
      <c r="F404" s="27"/>
    </row>
    <row r="405" spans="1:6" x14ac:dyDescent="0.3">
      <c r="A405" s="27" t="s">
        <v>671</v>
      </c>
      <c r="B405" s="27" t="s">
        <v>25</v>
      </c>
      <c r="C405">
        <v>18.600000000000001</v>
      </c>
      <c r="D405">
        <v>19.399999999999999</v>
      </c>
      <c r="E405" s="27" t="s">
        <v>670</v>
      </c>
      <c r="F405" s="27"/>
    </row>
    <row r="406" spans="1:6" x14ac:dyDescent="0.3">
      <c r="A406" s="27" t="s">
        <v>582</v>
      </c>
      <c r="B406" s="27" t="s">
        <v>10</v>
      </c>
      <c r="C406">
        <v>241.6</v>
      </c>
      <c r="D406">
        <v>251.95</v>
      </c>
      <c r="E406" s="27" t="s">
        <v>674</v>
      </c>
      <c r="F406" s="27"/>
    </row>
    <row r="407" spans="1:6" x14ac:dyDescent="0.3">
      <c r="A407" s="27" t="s">
        <v>787</v>
      </c>
      <c r="B407" s="27" t="s">
        <v>10</v>
      </c>
      <c r="C407">
        <v>77.099999999999994</v>
      </c>
      <c r="D407">
        <v>80.400000000000006</v>
      </c>
      <c r="E407" s="27" t="s">
        <v>674</v>
      </c>
      <c r="F407" s="27"/>
    </row>
    <row r="408" spans="1:6" x14ac:dyDescent="0.3">
      <c r="A408" s="27" t="s">
        <v>673</v>
      </c>
      <c r="B408" s="27" t="s">
        <v>33</v>
      </c>
      <c r="C408">
        <v>3.74</v>
      </c>
      <c r="D408">
        <v>3.9</v>
      </c>
      <c r="E408" s="27" t="s">
        <v>674</v>
      </c>
      <c r="F408" s="27"/>
    </row>
    <row r="409" spans="1:6" x14ac:dyDescent="0.3">
      <c r="A409" s="27" t="s">
        <v>629</v>
      </c>
      <c r="B409" s="27" t="s">
        <v>10</v>
      </c>
      <c r="C409">
        <v>442.15</v>
      </c>
      <c r="D409">
        <v>461.05</v>
      </c>
      <c r="E409" s="27" t="s">
        <v>676</v>
      </c>
      <c r="F409" s="27"/>
    </row>
    <row r="410" spans="1:6" x14ac:dyDescent="0.3">
      <c r="A410" s="27" t="s">
        <v>675</v>
      </c>
      <c r="B410" s="27" t="s">
        <v>328</v>
      </c>
      <c r="C410">
        <v>5.85</v>
      </c>
      <c r="D410">
        <v>6.1</v>
      </c>
      <c r="E410" s="27" t="s">
        <v>676</v>
      </c>
      <c r="F410" s="27"/>
    </row>
    <row r="411" spans="1:6" x14ac:dyDescent="0.3">
      <c r="A411" s="27" t="s">
        <v>677</v>
      </c>
      <c r="B411" s="27" t="s">
        <v>328</v>
      </c>
      <c r="C411">
        <v>1.17</v>
      </c>
      <c r="D411">
        <v>1.22</v>
      </c>
      <c r="E411" s="27" t="s">
        <v>676</v>
      </c>
      <c r="F411" s="27"/>
    </row>
    <row r="412" spans="1:6" x14ac:dyDescent="0.3">
      <c r="A412" s="27" t="s">
        <v>784</v>
      </c>
      <c r="B412" s="27" t="s">
        <v>11</v>
      </c>
      <c r="C412">
        <v>59.75</v>
      </c>
      <c r="D412">
        <v>62.3</v>
      </c>
      <c r="E412" s="27" t="s">
        <v>676</v>
      </c>
      <c r="F412" s="27"/>
    </row>
    <row r="413" spans="1:6" x14ac:dyDescent="0.3">
      <c r="A413" s="27" t="s">
        <v>679</v>
      </c>
      <c r="B413" s="27" t="s">
        <v>33</v>
      </c>
      <c r="C413">
        <v>14.15</v>
      </c>
      <c r="D413">
        <v>14.75</v>
      </c>
      <c r="E413" s="27" t="s">
        <v>680</v>
      </c>
      <c r="F413" s="27"/>
    </row>
    <row r="414" spans="1:6" x14ac:dyDescent="0.3">
      <c r="A414" s="27" t="s">
        <v>682</v>
      </c>
      <c r="B414" s="27" t="s">
        <v>33</v>
      </c>
      <c r="C414">
        <v>18.850000000000001</v>
      </c>
      <c r="D414">
        <v>19.649999999999999</v>
      </c>
      <c r="E414" s="27" t="s">
        <v>680</v>
      </c>
      <c r="F414" s="27"/>
    </row>
    <row r="415" spans="1:6" x14ac:dyDescent="0.3">
      <c r="A415" s="27" t="s">
        <v>681</v>
      </c>
      <c r="B415" s="27" t="s">
        <v>33</v>
      </c>
      <c r="C415">
        <v>1.18</v>
      </c>
      <c r="D415">
        <v>1.23</v>
      </c>
      <c r="E415" s="27" t="s">
        <v>680</v>
      </c>
      <c r="F415" s="27"/>
    </row>
    <row r="416" spans="1:6" x14ac:dyDescent="0.3">
      <c r="A416" s="27" t="s">
        <v>714</v>
      </c>
      <c r="B416" s="27" t="s">
        <v>10</v>
      </c>
      <c r="C416">
        <v>345.5</v>
      </c>
      <c r="D416">
        <v>360.15</v>
      </c>
      <c r="E416" s="27" t="s">
        <v>680</v>
      </c>
      <c r="F416" s="27"/>
    </row>
    <row r="417" spans="1:6" x14ac:dyDescent="0.3">
      <c r="A417" s="27" t="s">
        <v>686</v>
      </c>
      <c r="B417" s="27" t="s">
        <v>33</v>
      </c>
      <c r="C417">
        <v>7.34</v>
      </c>
      <c r="D417">
        <v>7.65</v>
      </c>
      <c r="E417" s="27" t="s">
        <v>685</v>
      </c>
      <c r="F417" s="27"/>
    </row>
    <row r="418" spans="1:6" x14ac:dyDescent="0.3">
      <c r="A418" s="27" t="s">
        <v>689</v>
      </c>
      <c r="B418" s="27" t="s">
        <v>33</v>
      </c>
      <c r="C418">
        <v>39.299999999999997</v>
      </c>
      <c r="D418">
        <v>40.950000000000003</v>
      </c>
      <c r="E418" s="27" t="s">
        <v>688</v>
      </c>
      <c r="F418" s="27"/>
    </row>
    <row r="419" spans="1:6" x14ac:dyDescent="0.3">
      <c r="A419" s="27" t="s">
        <v>687</v>
      </c>
      <c r="B419" s="27" t="s">
        <v>33</v>
      </c>
      <c r="C419">
        <v>27.35</v>
      </c>
      <c r="D419">
        <v>28.5</v>
      </c>
      <c r="E419" s="27" t="s">
        <v>688</v>
      </c>
      <c r="F419" s="27"/>
    </row>
    <row r="420" spans="1:6" x14ac:dyDescent="0.3">
      <c r="A420" s="27" t="s">
        <v>690</v>
      </c>
      <c r="B420" s="27" t="s">
        <v>35</v>
      </c>
      <c r="C420">
        <v>2.4</v>
      </c>
      <c r="D420">
        <v>2.5</v>
      </c>
      <c r="E420" s="27" t="s">
        <v>691</v>
      </c>
      <c r="F420" s="27"/>
    </row>
    <row r="421" spans="1:6" x14ac:dyDescent="0.3">
      <c r="A421" s="27" t="s">
        <v>692</v>
      </c>
      <c r="B421" s="27" t="s">
        <v>11</v>
      </c>
      <c r="C421">
        <v>11.52</v>
      </c>
      <c r="D421">
        <v>12</v>
      </c>
      <c r="E421" s="27" t="s">
        <v>691</v>
      </c>
      <c r="F421" s="27"/>
    </row>
    <row r="422" spans="1:6" x14ac:dyDescent="0.3">
      <c r="A422" s="27" t="s">
        <v>695</v>
      </c>
      <c r="B422" s="27" t="s">
        <v>328</v>
      </c>
      <c r="C422">
        <v>0.24</v>
      </c>
      <c r="D422">
        <v>0.25</v>
      </c>
      <c r="E422" s="27" t="s">
        <v>691</v>
      </c>
      <c r="F422" s="27"/>
    </row>
    <row r="423" spans="1:6" x14ac:dyDescent="0.3">
      <c r="A423" s="27" t="s">
        <v>696</v>
      </c>
      <c r="B423" s="27" t="s">
        <v>33</v>
      </c>
      <c r="C423">
        <v>24</v>
      </c>
      <c r="D423">
        <v>25</v>
      </c>
      <c r="E423" s="27" t="s">
        <v>691</v>
      </c>
      <c r="F423" s="27"/>
    </row>
    <row r="424" spans="1:6" x14ac:dyDescent="0.3">
      <c r="A424" s="27" t="s">
        <v>693</v>
      </c>
      <c r="B424" s="27" t="s">
        <v>328</v>
      </c>
      <c r="C424">
        <v>1.2</v>
      </c>
      <c r="D424">
        <v>1.25</v>
      </c>
      <c r="E424" s="27" t="s">
        <v>691</v>
      </c>
      <c r="F424" s="27"/>
    </row>
    <row r="425" spans="1:6" x14ac:dyDescent="0.3">
      <c r="A425" s="27" t="s">
        <v>694</v>
      </c>
      <c r="B425" s="27" t="s">
        <v>33</v>
      </c>
      <c r="C425">
        <v>0.96</v>
      </c>
      <c r="D425">
        <v>1</v>
      </c>
      <c r="E425" s="27" t="s">
        <v>691</v>
      </c>
      <c r="F425" s="27"/>
    </row>
    <row r="426" spans="1:6" x14ac:dyDescent="0.3">
      <c r="A426" s="27" t="s">
        <v>684</v>
      </c>
      <c r="B426" s="27" t="s">
        <v>10</v>
      </c>
      <c r="C426">
        <v>91.3</v>
      </c>
      <c r="D426">
        <v>95.1</v>
      </c>
      <c r="E426" s="27" t="s">
        <v>698</v>
      </c>
      <c r="F426" s="27"/>
    </row>
    <row r="427" spans="1:6" x14ac:dyDescent="0.3">
      <c r="A427" s="27" t="s">
        <v>662</v>
      </c>
      <c r="B427" s="27" t="s">
        <v>10</v>
      </c>
      <c r="C427">
        <v>25.25</v>
      </c>
      <c r="D427">
        <v>26.3</v>
      </c>
      <c r="E427" s="27" t="s">
        <v>698</v>
      </c>
      <c r="F427" s="27"/>
    </row>
    <row r="428" spans="1:6" x14ac:dyDescent="0.3">
      <c r="A428" s="27" t="s">
        <v>699</v>
      </c>
      <c r="B428" s="27" t="s">
        <v>10</v>
      </c>
      <c r="C428">
        <v>833</v>
      </c>
      <c r="D428">
        <v>867.55</v>
      </c>
      <c r="E428" s="27" t="s">
        <v>700</v>
      </c>
      <c r="F428" s="27"/>
    </row>
    <row r="429" spans="1:6" x14ac:dyDescent="0.3">
      <c r="A429" s="27" t="s">
        <v>701</v>
      </c>
      <c r="B429" s="27" t="s">
        <v>33</v>
      </c>
      <c r="C429">
        <v>43.5</v>
      </c>
      <c r="D429">
        <v>45.3</v>
      </c>
      <c r="E429" s="27" t="s">
        <v>702</v>
      </c>
      <c r="F429" s="27"/>
    </row>
    <row r="430" spans="1:6" x14ac:dyDescent="0.3">
      <c r="A430" s="27" t="s">
        <v>728</v>
      </c>
      <c r="B430" s="27" t="s">
        <v>10</v>
      </c>
      <c r="C430">
        <v>45.95</v>
      </c>
      <c r="D430">
        <v>47.85</v>
      </c>
      <c r="E430" s="27" t="s">
        <v>3347</v>
      </c>
      <c r="F430" s="27"/>
    </row>
    <row r="431" spans="1:6" x14ac:dyDescent="0.3">
      <c r="A431" s="27" t="s">
        <v>706</v>
      </c>
      <c r="B431" s="27" t="s">
        <v>11</v>
      </c>
      <c r="C431">
        <v>542.6</v>
      </c>
      <c r="D431">
        <v>564.95000000000005</v>
      </c>
      <c r="E431" s="27" t="s">
        <v>704</v>
      </c>
      <c r="F431" s="27"/>
    </row>
    <row r="432" spans="1:6" x14ac:dyDescent="0.3">
      <c r="A432" s="27" t="s">
        <v>708</v>
      </c>
      <c r="B432" s="27" t="s">
        <v>11</v>
      </c>
      <c r="C432">
        <v>64.8</v>
      </c>
      <c r="D432">
        <v>67.45</v>
      </c>
      <c r="E432" s="27" t="s">
        <v>709</v>
      </c>
      <c r="F432" s="27"/>
    </row>
    <row r="433" spans="1:6" x14ac:dyDescent="0.3">
      <c r="A433" s="27" t="s">
        <v>713</v>
      </c>
      <c r="B433" s="27" t="s">
        <v>29</v>
      </c>
      <c r="C433">
        <v>29.4</v>
      </c>
      <c r="D433">
        <v>30.6</v>
      </c>
      <c r="E433" s="27" t="s">
        <v>711</v>
      </c>
      <c r="F433" s="27"/>
    </row>
    <row r="434" spans="1:6" x14ac:dyDescent="0.3">
      <c r="A434" s="27" t="s">
        <v>710</v>
      </c>
      <c r="B434" s="27" t="s">
        <v>33</v>
      </c>
      <c r="C434">
        <v>35.5</v>
      </c>
      <c r="D434">
        <v>36.950000000000003</v>
      </c>
      <c r="E434" s="27" t="s">
        <v>711</v>
      </c>
      <c r="F434" s="27"/>
    </row>
    <row r="435" spans="1:6" x14ac:dyDescent="0.3">
      <c r="A435" s="27" t="s">
        <v>770</v>
      </c>
      <c r="B435" s="27" t="s">
        <v>10</v>
      </c>
      <c r="C435">
        <v>133.9</v>
      </c>
      <c r="D435">
        <v>139.35</v>
      </c>
      <c r="E435" s="27" t="s">
        <v>715</v>
      </c>
      <c r="F435" s="27"/>
    </row>
    <row r="436" spans="1:6" x14ac:dyDescent="0.3">
      <c r="A436" s="27" t="s">
        <v>697</v>
      </c>
      <c r="B436" s="27" t="s">
        <v>10</v>
      </c>
      <c r="C436">
        <v>54.05</v>
      </c>
      <c r="D436">
        <v>56.25</v>
      </c>
      <c r="E436" s="27" t="s">
        <v>715</v>
      </c>
      <c r="F436" s="27"/>
    </row>
    <row r="437" spans="1:6" x14ac:dyDescent="0.3">
      <c r="A437" s="27" t="s">
        <v>716</v>
      </c>
      <c r="B437" s="27" t="s">
        <v>328</v>
      </c>
      <c r="C437">
        <v>13.01</v>
      </c>
      <c r="D437">
        <v>13.54</v>
      </c>
      <c r="E437" s="27" t="s">
        <v>715</v>
      </c>
      <c r="F437" s="27"/>
    </row>
    <row r="438" spans="1:6" x14ac:dyDescent="0.3">
      <c r="A438" s="27" t="s">
        <v>719</v>
      </c>
      <c r="B438" s="27" t="s">
        <v>10</v>
      </c>
      <c r="C438">
        <v>947</v>
      </c>
      <c r="D438">
        <v>985.45</v>
      </c>
      <c r="E438" s="27" t="s">
        <v>718</v>
      </c>
      <c r="F438" s="27"/>
    </row>
    <row r="439" spans="1:6" x14ac:dyDescent="0.3">
      <c r="A439" s="27" t="s">
        <v>672</v>
      </c>
      <c r="B439" s="27" t="s">
        <v>10</v>
      </c>
      <c r="C439">
        <v>260.8</v>
      </c>
      <c r="D439">
        <v>271.35000000000002</v>
      </c>
      <c r="E439" s="27" t="s">
        <v>721</v>
      </c>
      <c r="F439" s="27"/>
    </row>
    <row r="440" spans="1:6" x14ac:dyDescent="0.3">
      <c r="A440" s="27" t="s">
        <v>722</v>
      </c>
      <c r="B440" s="27" t="s">
        <v>35</v>
      </c>
      <c r="C440">
        <v>0.99</v>
      </c>
      <c r="D440">
        <v>1.03</v>
      </c>
      <c r="E440" s="27" t="s">
        <v>723</v>
      </c>
      <c r="F440" s="27"/>
    </row>
    <row r="441" spans="1:6" x14ac:dyDescent="0.3">
      <c r="A441" s="27" t="s">
        <v>725</v>
      </c>
      <c r="B441" s="27" t="s">
        <v>33</v>
      </c>
      <c r="C441">
        <v>317.2</v>
      </c>
      <c r="D441">
        <v>330</v>
      </c>
      <c r="E441" s="27" t="s">
        <v>723</v>
      </c>
      <c r="F441" s="27"/>
    </row>
    <row r="442" spans="1:6" x14ac:dyDescent="0.3">
      <c r="A442" s="27" t="s">
        <v>973</v>
      </c>
      <c r="B442" s="27" t="s">
        <v>10</v>
      </c>
      <c r="C442">
        <v>38.4</v>
      </c>
      <c r="D442">
        <v>39.950000000000003</v>
      </c>
      <c r="E442" s="27" t="s">
        <v>723</v>
      </c>
      <c r="F442" s="27"/>
    </row>
    <row r="443" spans="1:6" x14ac:dyDescent="0.3">
      <c r="A443" s="27" t="s">
        <v>724</v>
      </c>
      <c r="B443" s="27" t="s">
        <v>33</v>
      </c>
      <c r="C443">
        <v>11.13</v>
      </c>
      <c r="D443">
        <v>11.58</v>
      </c>
      <c r="E443" s="27" t="s">
        <v>723</v>
      </c>
      <c r="F443" s="27"/>
    </row>
    <row r="444" spans="1:6" x14ac:dyDescent="0.3">
      <c r="A444" s="27" t="s">
        <v>729</v>
      </c>
      <c r="B444" s="27" t="s">
        <v>11</v>
      </c>
      <c r="C444">
        <v>365.35</v>
      </c>
      <c r="D444">
        <v>380</v>
      </c>
      <c r="E444" s="27" t="s">
        <v>730</v>
      </c>
      <c r="F444" s="27"/>
    </row>
    <row r="445" spans="1:6" x14ac:dyDescent="0.3">
      <c r="A445" s="27" t="s">
        <v>731</v>
      </c>
      <c r="B445" s="27" t="s">
        <v>29</v>
      </c>
      <c r="C445">
        <v>1.25</v>
      </c>
      <c r="D445">
        <v>1.3</v>
      </c>
      <c r="E445" s="27" t="s">
        <v>732</v>
      </c>
      <c r="F445" s="27"/>
    </row>
    <row r="446" spans="1:6" x14ac:dyDescent="0.3">
      <c r="A446" s="27" t="s">
        <v>733</v>
      </c>
      <c r="B446" s="27" t="s">
        <v>734</v>
      </c>
      <c r="C446">
        <v>5.77</v>
      </c>
      <c r="D446">
        <v>6</v>
      </c>
      <c r="E446" s="27" t="s">
        <v>735</v>
      </c>
      <c r="F446" s="27"/>
    </row>
    <row r="447" spans="1:6" x14ac:dyDescent="0.3">
      <c r="A447" s="27" t="s">
        <v>703</v>
      </c>
      <c r="B447" s="27" t="s">
        <v>10</v>
      </c>
      <c r="C447">
        <v>2578.5</v>
      </c>
      <c r="D447">
        <v>2681</v>
      </c>
      <c r="E447" s="27" t="s">
        <v>737</v>
      </c>
      <c r="F447" s="27"/>
    </row>
    <row r="448" spans="1:6" x14ac:dyDescent="0.3">
      <c r="A448" s="27" t="s">
        <v>740</v>
      </c>
      <c r="B448" s="27" t="s">
        <v>33</v>
      </c>
      <c r="C448">
        <v>730</v>
      </c>
      <c r="D448">
        <v>759</v>
      </c>
      <c r="E448" s="27" t="s">
        <v>739</v>
      </c>
      <c r="F448" s="27"/>
    </row>
    <row r="449" spans="1:6" x14ac:dyDescent="0.3">
      <c r="A449" s="27" t="s">
        <v>743</v>
      </c>
      <c r="B449" s="27" t="s">
        <v>11</v>
      </c>
      <c r="C449">
        <v>193.1</v>
      </c>
      <c r="D449">
        <v>200.75</v>
      </c>
      <c r="E449" s="27" t="s">
        <v>742</v>
      </c>
      <c r="F449" s="27"/>
    </row>
    <row r="450" spans="1:6" x14ac:dyDescent="0.3">
      <c r="A450" s="27" t="s">
        <v>744</v>
      </c>
      <c r="B450" s="27" t="s">
        <v>11</v>
      </c>
      <c r="C450">
        <v>42.9</v>
      </c>
      <c r="D450">
        <v>44.6</v>
      </c>
      <c r="E450" s="27" t="s">
        <v>742</v>
      </c>
      <c r="F450" s="27"/>
    </row>
    <row r="451" spans="1:6" x14ac:dyDescent="0.3">
      <c r="A451" s="27" t="s">
        <v>741</v>
      </c>
      <c r="B451" s="27" t="s">
        <v>33</v>
      </c>
      <c r="C451">
        <v>2.02</v>
      </c>
      <c r="D451">
        <v>2.1</v>
      </c>
      <c r="E451" s="27" t="s">
        <v>742</v>
      </c>
      <c r="F451" s="27"/>
    </row>
    <row r="452" spans="1:6" x14ac:dyDescent="0.3">
      <c r="A452" s="27" t="s">
        <v>668</v>
      </c>
      <c r="B452" s="27" t="s">
        <v>11</v>
      </c>
      <c r="C452">
        <v>81</v>
      </c>
      <c r="D452">
        <v>84.2</v>
      </c>
      <c r="E452" s="27" t="s">
        <v>746</v>
      </c>
      <c r="F452" s="27"/>
    </row>
    <row r="453" spans="1:6" x14ac:dyDescent="0.3">
      <c r="A453" s="27" t="s">
        <v>678</v>
      </c>
      <c r="B453" s="27" t="s">
        <v>11</v>
      </c>
      <c r="C453">
        <v>65.900000000000006</v>
      </c>
      <c r="D453">
        <v>68.5</v>
      </c>
      <c r="E453" s="27" t="s">
        <v>746</v>
      </c>
      <c r="F453" s="27"/>
    </row>
    <row r="454" spans="1:6" x14ac:dyDescent="0.3">
      <c r="A454" s="27" t="s">
        <v>830</v>
      </c>
      <c r="B454" s="27" t="s">
        <v>10</v>
      </c>
      <c r="C454">
        <v>209.8</v>
      </c>
      <c r="D454">
        <v>218.05</v>
      </c>
      <c r="E454" s="27" t="s">
        <v>748</v>
      </c>
      <c r="F454" s="27"/>
    </row>
    <row r="455" spans="1:6" x14ac:dyDescent="0.3">
      <c r="A455" s="27" t="s">
        <v>747</v>
      </c>
      <c r="B455" s="27" t="s">
        <v>33</v>
      </c>
      <c r="C455">
        <v>10.94</v>
      </c>
      <c r="D455">
        <v>11.37</v>
      </c>
      <c r="E455" s="27" t="s">
        <v>748</v>
      </c>
      <c r="F455" s="27"/>
    </row>
    <row r="456" spans="1:6" x14ac:dyDescent="0.3">
      <c r="A456" s="27" t="s">
        <v>749</v>
      </c>
      <c r="B456" s="27" t="s">
        <v>10</v>
      </c>
      <c r="C456">
        <v>923.55</v>
      </c>
      <c r="D456">
        <v>959.85</v>
      </c>
      <c r="E456" s="27" t="s">
        <v>748</v>
      </c>
      <c r="F456" s="27"/>
    </row>
    <row r="457" spans="1:6" x14ac:dyDescent="0.3">
      <c r="A457" s="27" t="s">
        <v>750</v>
      </c>
      <c r="B457" s="27" t="s">
        <v>328</v>
      </c>
      <c r="C457">
        <v>12.51</v>
      </c>
      <c r="D457">
        <v>13</v>
      </c>
      <c r="E457" s="27" t="s">
        <v>751</v>
      </c>
      <c r="F457" s="27"/>
    </row>
    <row r="458" spans="1:6" x14ac:dyDescent="0.3">
      <c r="A458" s="27" t="s">
        <v>753</v>
      </c>
      <c r="B458" s="27" t="s">
        <v>29</v>
      </c>
      <c r="C458">
        <v>66.400000000000006</v>
      </c>
      <c r="D458">
        <v>69</v>
      </c>
      <c r="E458" s="27" t="s">
        <v>751</v>
      </c>
      <c r="F458" s="27"/>
    </row>
    <row r="459" spans="1:6" x14ac:dyDescent="0.3">
      <c r="A459" s="27" t="s">
        <v>756</v>
      </c>
      <c r="B459" s="27" t="s">
        <v>11</v>
      </c>
      <c r="C459">
        <v>150.80000000000001</v>
      </c>
      <c r="D459">
        <v>156.69999999999999</v>
      </c>
      <c r="E459" s="27" t="s">
        <v>755</v>
      </c>
      <c r="F459" s="27"/>
    </row>
    <row r="460" spans="1:6" x14ac:dyDescent="0.3">
      <c r="A460" s="27" t="s">
        <v>712</v>
      </c>
      <c r="B460" s="27" t="s">
        <v>10</v>
      </c>
      <c r="C460">
        <v>145.80000000000001</v>
      </c>
      <c r="D460">
        <v>151.5</v>
      </c>
      <c r="E460" s="27" t="s">
        <v>755</v>
      </c>
      <c r="F460" s="27"/>
    </row>
    <row r="461" spans="1:6" x14ac:dyDescent="0.3">
      <c r="A461" s="27" t="s">
        <v>717</v>
      </c>
      <c r="B461" s="27" t="s">
        <v>10</v>
      </c>
      <c r="C461">
        <v>206.95</v>
      </c>
      <c r="D461">
        <v>215</v>
      </c>
      <c r="E461" s="27" t="s">
        <v>3348</v>
      </c>
      <c r="F461" s="27"/>
    </row>
    <row r="462" spans="1:6" x14ac:dyDescent="0.3">
      <c r="A462" s="27" t="s">
        <v>752</v>
      </c>
      <c r="B462" s="27" t="s">
        <v>10</v>
      </c>
      <c r="C462">
        <v>8273.0499999999993</v>
      </c>
      <c r="D462">
        <v>8594.4500000000007</v>
      </c>
      <c r="E462" s="27" t="s">
        <v>760</v>
      </c>
      <c r="F462" s="27"/>
    </row>
    <row r="463" spans="1:6" x14ac:dyDescent="0.3">
      <c r="A463" s="27" t="s">
        <v>759</v>
      </c>
      <c r="B463" s="27" t="s">
        <v>33</v>
      </c>
      <c r="C463">
        <v>42.55</v>
      </c>
      <c r="D463">
        <v>44.2</v>
      </c>
      <c r="E463" s="27" t="s">
        <v>760</v>
      </c>
      <c r="F463" s="27"/>
    </row>
    <row r="464" spans="1:6" x14ac:dyDescent="0.3">
      <c r="A464" s="27" t="s">
        <v>707</v>
      </c>
      <c r="B464" s="27" t="s">
        <v>10</v>
      </c>
      <c r="C464">
        <v>41.35</v>
      </c>
      <c r="D464">
        <v>42.95</v>
      </c>
      <c r="E464" s="27" t="s">
        <v>3349</v>
      </c>
      <c r="F464" s="27"/>
    </row>
    <row r="465" spans="1:6" x14ac:dyDescent="0.3">
      <c r="A465" s="27" t="s">
        <v>763</v>
      </c>
      <c r="B465" s="27" t="s">
        <v>33</v>
      </c>
      <c r="C465">
        <v>27.2</v>
      </c>
      <c r="D465">
        <v>28.25</v>
      </c>
      <c r="E465" s="27" t="s">
        <v>762</v>
      </c>
      <c r="F465" s="27"/>
    </row>
    <row r="466" spans="1:6" x14ac:dyDescent="0.3">
      <c r="A466" s="27" t="s">
        <v>761</v>
      </c>
      <c r="B466" s="27" t="s">
        <v>10</v>
      </c>
      <c r="C466">
        <v>256.8</v>
      </c>
      <c r="D466">
        <v>266.7</v>
      </c>
      <c r="E466" s="27" t="s">
        <v>762</v>
      </c>
      <c r="F466" s="27"/>
    </row>
    <row r="467" spans="1:6" x14ac:dyDescent="0.3">
      <c r="A467" s="27" t="s">
        <v>766</v>
      </c>
      <c r="B467" s="27" t="s">
        <v>33</v>
      </c>
      <c r="C467">
        <v>22.15</v>
      </c>
      <c r="D467">
        <v>23</v>
      </c>
      <c r="E467" s="27" t="s">
        <v>765</v>
      </c>
      <c r="F467" s="27"/>
    </row>
    <row r="468" spans="1:6" x14ac:dyDescent="0.3">
      <c r="A468" s="27" t="s">
        <v>764</v>
      </c>
      <c r="B468" s="27" t="s">
        <v>29</v>
      </c>
      <c r="C468">
        <v>142</v>
      </c>
      <c r="D468">
        <v>147.44999999999999</v>
      </c>
      <c r="E468" s="27" t="s">
        <v>765</v>
      </c>
      <c r="F468" s="27"/>
    </row>
    <row r="469" spans="1:6" x14ac:dyDescent="0.3">
      <c r="A469" s="27" t="s">
        <v>793</v>
      </c>
      <c r="B469" s="27" t="s">
        <v>10</v>
      </c>
      <c r="C469">
        <v>1402.45</v>
      </c>
      <c r="D469">
        <v>1456.1</v>
      </c>
      <c r="E469" s="27" t="s">
        <v>3350</v>
      </c>
      <c r="F469" s="27"/>
    </row>
    <row r="470" spans="1:6" x14ac:dyDescent="0.3">
      <c r="A470" s="27" t="s">
        <v>771</v>
      </c>
      <c r="B470" s="27" t="s">
        <v>10</v>
      </c>
      <c r="C470">
        <v>516.04999999999995</v>
      </c>
      <c r="D470">
        <v>535.79999999999995</v>
      </c>
      <c r="E470" s="27" t="s">
        <v>3350</v>
      </c>
      <c r="F470" s="27"/>
    </row>
    <row r="471" spans="1:6" x14ac:dyDescent="0.3">
      <c r="A471" s="27" t="s">
        <v>859</v>
      </c>
      <c r="B471" s="27" t="s">
        <v>11</v>
      </c>
      <c r="C471">
        <v>141.1</v>
      </c>
      <c r="D471">
        <v>146.5</v>
      </c>
      <c r="E471" s="27" t="s">
        <v>3350</v>
      </c>
      <c r="F471" s="27"/>
    </row>
    <row r="472" spans="1:6" x14ac:dyDescent="0.3">
      <c r="A472" s="27" t="s">
        <v>769</v>
      </c>
      <c r="B472" s="27" t="s">
        <v>11</v>
      </c>
      <c r="C472">
        <v>13.89</v>
      </c>
      <c r="D472">
        <v>14.42</v>
      </c>
      <c r="E472" s="27" t="s">
        <v>768</v>
      </c>
      <c r="F472" s="27"/>
    </row>
    <row r="473" spans="1:6" x14ac:dyDescent="0.3">
      <c r="A473" s="27" t="s">
        <v>767</v>
      </c>
      <c r="B473" s="27" t="s">
        <v>33</v>
      </c>
      <c r="C473">
        <v>8.91</v>
      </c>
      <c r="D473">
        <v>9.25</v>
      </c>
      <c r="E473" s="27" t="s">
        <v>768</v>
      </c>
      <c r="F473" s="27"/>
    </row>
    <row r="474" spans="1:6" x14ac:dyDescent="0.3">
      <c r="A474" s="27" t="s">
        <v>774</v>
      </c>
      <c r="B474" s="27" t="s">
        <v>33</v>
      </c>
      <c r="C474">
        <v>342</v>
      </c>
      <c r="D474">
        <v>355</v>
      </c>
      <c r="E474" s="27" t="s">
        <v>773</v>
      </c>
      <c r="F474" s="27"/>
    </row>
    <row r="475" spans="1:6" x14ac:dyDescent="0.3">
      <c r="A475" s="27" t="s">
        <v>777</v>
      </c>
      <c r="B475" s="27" t="s">
        <v>33</v>
      </c>
      <c r="C475">
        <v>129</v>
      </c>
      <c r="D475">
        <v>133.9</v>
      </c>
      <c r="E475" s="27" t="s">
        <v>773</v>
      </c>
      <c r="F475" s="27"/>
    </row>
    <row r="476" spans="1:6" x14ac:dyDescent="0.3">
      <c r="A476" s="27" t="s">
        <v>776</v>
      </c>
      <c r="B476" s="27" t="s">
        <v>33</v>
      </c>
      <c r="C476">
        <v>23.7</v>
      </c>
      <c r="D476">
        <v>24.6</v>
      </c>
      <c r="E476" s="27" t="s">
        <v>773</v>
      </c>
      <c r="F476" s="27"/>
    </row>
    <row r="477" spans="1:6" x14ac:dyDescent="0.3">
      <c r="A477" s="27" t="s">
        <v>1096</v>
      </c>
      <c r="B477" s="27" t="s">
        <v>33</v>
      </c>
      <c r="C477">
        <v>46.05</v>
      </c>
      <c r="D477">
        <v>47.8</v>
      </c>
      <c r="E477" s="27" t="s">
        <v>773</v>
      </c>
      <c r="F477" s="27"/>
    </row>
    <row r="478" spans="1:6" x14ac:dyDescent="0.3">
      <c r="A478" s="27" t="s">
        <v>772</v>
      </c>
      <c r="B478" s="27" t="s">
        <v>33</v>
      </c>
      <c r="C478">
        <v>1059.7</v>
      </c>
      <c r="D478">
        <v>1099.95</v>
      </c>
      <c r="E478" s="27" t="s">
        <v>773</v>
      </c>
      <c r="F478" s="27"/>
    </row>
    <row r="479" spans="1:6" x14ac:dyDescent="0.3">
      <c r="A479" s="27" t="s">
        <v>778</v>
      </c>
      <c r="B479" s="27" t="s">
        <v>10</v>
      </c>
      <c r="C479">
        <v>1095.55</v>
      </c>
      <c r="D479">
        <v>1137.05</v>
      </c>
      <c r="E479" s="27" t="s">
        <v>779</v>
      </c>
      <c r="F479" s="27"/>
    </row>
    <row r="480" spans="1:6" x14ac:dyDescent="0.3">
      <c r="A480" s="27" t="s">
        <v>782</v>
      </c>
      <c r="B480" s="27" t="s">
        <v>29</v>
      </c>
      <c r="C480">
        <v>12.43</v>
      </c>
      <c r="D480">
        <v>12.9</v>
      </c>
      <c r="E480" s="27" t="s">
        <v>781</v>
      </c>
      <c r="F480" s="27"/>
    </row>
    <row r="481" spans="1:6" x14ac:dyDescent="0.3">
      <c r="A481" s="27" t="s">
        <v>738</v>
      </c>
      <c r="B481" s="27" t="s">
        <v>10</v>
      </c>
      <c r="C481">
        <v>737.1</v>
      </c>
      <c r="D481">
        <v>764.95</v>
      </c>
      <c r="E481" s="27" t="s">
        <v>781</v>
      </c>
      <c r="F481" s="27"/>
    </row>
    <row r="482" spans="1:6" x14ac:dyDescent="0.3">
      <c r="A482" s="27" t="s">
        <v>780</v>
      </c>
      <c r="B482" s="27" t="s">
        <v>33</v>
      </c>
      <c r="C482">
        <v>47.6</v>
      </c>
      <c r="D482">
        <v>49.4</v>
      </c>
      <c r="E482" s="27" t="s">
        <v>781</v>
      </c>
      <c r="F482" s="27"/>
    </row>
    <row r="483" spans="1:6" x14ac:dyDescent="0.3">
      <c r="A483" s="27" t="s">
        <v>786</v>
      </c>
      <c r="B483" s="27" t="s">
        <v>33</v>
      </c>
      <c r="C483">
        <v>29.2</v>
      </c>
      <c r="D483">
        <v>30.3</v>
      </c>
      <c r="E483" s="27" t="s">
        <v>785</v>
      </c>
      <c r="F483" s="27"/>
    </row>
    <row r="484" spans="1:6" x14ac:dyDescent="0.3">
      <c r="A484" s="27" t="s">
        <v>790</v>
      </c>
      <c r="B484" s="27" t="s">
        <v>33</v>
      </c>
      <c r="C484">
        <v>80.05</v>
      </c>
      <c r="D484">
        <v>83.05</v>
      </c>
      <c r="E484" s="27" t="s">
        <v>789</v>
      </c>
      <c r="F484" s="27"/>
    </row>
    <row r="485" spans="1:6" x14ac:dyDescent="0.3">
      <c r="A485" s="27" t="s">
        <v>791</v>
      </c>
      <c r="B485" s="27" t="s">
        <v>33</v>
      </c>
      <c r="C485">
        <v>268.7</v>
      </c>
      <c r="D485">
        <v>278.75</v>
      </c>
      <c r="E485" s="27" t="s">
        <v>792</v>
      </c>
      <c r="F485" s="27"/>
    </row>
    <row r="486" spans="1:6" x14ac:dyDescent="0.3">
      <c r="A486" s="27" t="s">
        <v>867</v>
      </c>
      <c r="B486" s="27" t="s">
        <v>33</v>
      </c>
      <c r="C486">
        <v>330.65</v>
      </c>
      <c r="D486">
        <v>343</v>
      </c>
      <c r="E486" s="27" t="s">
        <v>792</v>
      </c>
      <c r="F486" s="27"/>
    </row>
    <row r="487" spans="1:6" x14ac:dyDescent="0.3">
      <c r="A487" s="27" t="s">
        <v>775</v>
      </c>
      <c r="B487" s="27" t="s">
        <v>10</v>
      </c>
      <c r="C487">
        <v>480.25</v>
      </c>
      <c r="D487">
        <v>498.1</v>
      </c>
      <c r="E487" s="27" t="s">
        <v>795</v>
      </c>
      <c r="F487" s="27"/>
    </row>
    <row r="488" spans="1:6" x14ac:dyDescent="0.3">
      <c r="A488" s="27" t="s">
        <v>796</v>
      </c>
      <c r="B488" s="27" t="s">
        <v>10</v>
      </c>
      <c r="C488">
        <v>88.65</v>
      </c>
      <c r="D488">
        <v>91.95</v>
      </c>
      <c r="E488" s="27" t="s">
        <v>795</v>
      </c>
      <c r="F488" s="27"/>
    </row>
    <row r="489" spans="1:6" x14ac:dyDescent="0.3">
      <c r="A489" s="27" t="s">
        <v>797</v>
      </c>
      <c r="B489" s="27" t="s">
        <v>33</v>
      </c>
      <c r="C489">
        <v>260.10000000000002</v>
      </c>
      <c r="D489">
        <v>269.75</v>
      </c>
      <c r="E489" s="27" t="s">
        <v>798</v>
      </c>
      <c r="F489" s="27"/>
    </row>
    <row r="490" spans="1:6" x14ac:dyDescent="0.3">
      <c r="A490" s="27" t="s">
        <v>799</v>
      </c>
      <c r="B490" s="27" t="s">
        <v>11</v>
      </c>
      <c r="C490">
        <v>117.45</v>
      </c>
      <c r="D490">
        <v>121.8</v>
      </c>
      <c r="E490" s="27" t="s">
        <v>800</v>
      </c>
      <c r="F490" s="27"/>
    </row>
    <row r="491" spans="1:6" x14ac:dyDescent="0.3">
      <c r="A491" s="27" t="s">
        <v>802</v>
      </c>
      <c r="B491" s="27" t="s">
        <v>33</v>
      </c>
      <c r="C491">
        <v>32.450000000000003</v>
      </c>
      <c r="D491">
        <v>33.65</v>
      </c>
      <c r="E491" s="27" t="s">
        <v>800</v>
      </c>
      <c r="F491" s="27"/>
    </row>
    <row r="492" spans="1:6" x14ac:dyDescent="0.3">
      <c r="A492" s="27" t="s">
        <v>801</v>
      </c>
      <c r="B492" s="27" t="s">
        <v>11</v>
      </c>
      <c r="C492">
        <v>132.55000000000001</v>
      </c>
      <c r="D492">
        <v>137.44999999999999</v>
      </c>
      <c r="E492" s="27" t="s">
        <v>800</v>
      </c>
      <c r="F492" s="27"/>
    </row>
    <row r="493" spans="1:6" x14ac:dyDescent="0.3">
      <c r="A493" s="27" t="s">
        <v>783</v>
      </c>
      <c r="B493" s="27" t="s">
        <v>10</v>
      </c>
      <c r="C493">
        <v>62.25</v>
      </c>
      <c r="D493">
        <v>64.55</v>
      </c>
      <c r="E493" s="27" t="s">
        <v>3351</v>
      </c>
      <c r="F493" s="27"/>
    </row>
    <row r="494" spans="1:6" x14ac:dyDescent="0.3">
      <c r="A494" s="27" t="s">
        <v>803</v>
      </c>
      <c r="B494" s="27" t="s">
        <v>33</v>
      </c>
      <c r="C494">
        <v>167.2</v>
      </c>
      <c r="D494">
        <v>173.35</v>
      </c>
      <c r="E494" s="27" t="s">
        <v>804</v>
      </c>
      <c r="F494" s="27"/>
    </row>
    <row r="495" spans="1:6" x14ac:dyDescent="0.3">
      <c r="A495" s="27" t="s">
        <v>899</v>
      </c>
      <c r="B495" s="27" t="s">
        <v>10</v>
      </c>
      <c r="C495">
        <v>95.15</v>
      </c>
      <c r="D495">
        <v>98.65</v>
      </c>
      <c r="E495" s="27" t="s">
        <v>804</v>
      </c>
      <c r="F495" s="27"/>
    </row>
    <row r="496" spans="1:6" x14ac:dyDescent="0.3">
      <c r="A496" s="27" t="s">
        <v>720</v>
      </c>
      <c r="B496" s="27" t="s">
        <v>11</v>
      </c>
      <c r="C496">
        <v>170.5</v>
      </c>
      <c r="D496">
        <v>176.75</v>
      </c>
      <c r="E496" s="27" t="s">
        <v>3352</v>
      </c>
      <c r="F496" s="27"/>
    </row>
    <row r="497" spans="1:6" x14ac:dyDescent="0.3">
      <c r="A497" s="27" t="s">
        <v>805</v>
      </c>
      <c r="B497" s="27" t="s">
        <v>35</v>
      </c>
      <c r="C497">
        <v>3.28</v>
      </c>
      <c r="D497">
        <v>3.4</v>
      </c>
      <c r="E497" s="27" t="s">
        <v>806</v>
      </c>
      <c r="F497" s="27"/>
    </row>
    <row r="498" spans="1:6" x14ac:dyDescent="0.3">
      <c r="A498" s="27" t="s">
        <v>809</v>
      </c>
      <c r="B498" s="27" t="s">
        <v>33</v>
      </c>
      <c r="C498">
        <v>4.38</v>
      </c>
      <c r="D498">
        <v>4.54</v>
      </c>
      <c r="E498" s="27" t="s">
        <v>808</v>
      </c>
      <c r="F498" s="27"/>
    </row>
    <row r="499" spans="1:6" x14ac:dyDescent="0.3">
      <c r="A499" s="27" t="s">
        <v>807</v>
      </c>
      <c r="B499" s="27" t="s">
        <v>35</v>
      </c>
      <c r="C499">
        <v>5.21</v>
      </c>
      <c r="D499">
        <v>5.4</v>
      </c>
      <c r="E499" s="27" t="s">
        <v>808</v>
      </c>
      <c r="F499" s="27"/>
    </row>
    <row r="500" spans="1:6" x14ac:dyDescent="0.3">
      <c r="A500" s="27" t="s">
        <v>812</v>
      </c>
      <c r="B500" s="27" t="s">
        <v>33</v>
      </c>
      <c r="C500">
        <v>0.55000000000000004</v>
      </c>
      <c r="D500">
        <v>0.56999999999999995</v>
      </c>
      <c r="E500" s="27" t="s">
        <v>811</v>
      </c>
      <c r="F500" s="27"/>
    </row>
    <row r="501" spans="1:6" x14ac:dyDescent="0.3">
      <c r="A501" s="27" t="s">
        <v>810</v>
      </c>
      <c r="B501" s="27" t="s">
        <v>33</v>
      </c>
      <c r="C501">
        <v>21.95</v>
      </c>
      <c r="D501">
        <v>22.75</v>
      </c>
      <c r="E501" s="27" t="s">
        <v>811</v>
      </c>
      <c r="F501" s="27"/>
    </row>
    <row r="502" spans="1:6" x14ac:dyDescent="0.3">
      <c r="A502" s="27" t="s">
        <v>813</v>
      </c>
      <c r="B502" s="27" t="s">
        <v>10</v>
      </c>
      <c r="C502">
        <v>200.55</v>
      </c>
      <c r="D502">
        <v>207.85</v>
      </c>
      <c r="E502" s="27" t="s">
        <v>811</v>
      </c>
      <c r="F502" s="27"/>
    </row>
    <row r="503" spans="1:6" x14ac:dyDescent="0.3">
      <c r="A503" s="27" t="s">
        <v>814</v>
      </c>
      <c r="B503" s="27" t="s">
        <v>11</v>
      </c>
      <c r="C503">
        <v>28.9</v>
      </c>
      <c r="D503">
        <v>29.95</v>
      </c>
      <c r="E503" s="27" t="s">
        <v>815</v>
      </c>
      <c r="F503" s="27"/>
    </row>
    <row r="504" spans="1:6" x14ac:dyDescent="0.3">
      <c r="A504" s="27" t="s">
        <v>816</v>
      </c>
      <c r="B504" s="27" t="s">
        <v>10</v>
      </c>
      <c r="C504">
        <v>238.35</v>
      </c>
      <c r="D504">
        <v>247</v>
      </c>
      <c r="E504" s="27" t="s">
        <v>815</v>
      </c>
      <c r="F504" s="27"/>
    </row>
    <row r="505" spans="1:6" x14ac:dyDescent="0.3">
      <c r="A505" s="27" t="s">
        <v>817</v>
      </c>
      <c r="B505" s="27" t="s">
        <v>33</v>
      </c>
      <c r="C505">
        <v>62</v>
      </c>
      <c r="D505">
        <v>64.25</v>
      </c>
      <c r="E505" s="27" t="s">
        <v>815</v>
      </c>
      <c r="F505" s="27"/>
    </row>
    <row r="506" spans="1:6" x14ac:dyDescent="0.3">
      <c r="A506" s="27" t="s">
        <v>818</v>
      </c>
      <c r="B506" s="27" t="s">
        <v>33</v>
      </c>
      <c r="C506">
        <v>60.8</v>
      </c>
      <c r="D506">
        <v>63</v>
      </c>
      <c r="E506" s="27" t="s">
        <v>819</v>
      </c>
      <c r="F506" s="27"/>
    </row>
    <row r="507" spans="1:6" x14ac:dyDescent="0.3">
      <c r="A507" s="27" t="s">
        <v>824</v>
      </c>
      <c r="B507" s="27" t="s">
        <v>11</v>
      </c>
      <c r="C507">
        <v>123.05</v>
      </c>
      <c r="D507">
        <v>127.5</v>
      </c>
      <c r="E507" s="27" t="s">
        <v>819</v>
      </c>
      <c r="F507" s="27"/>
    </row>
    <row r="508" spans="1:6" x14ac:dyDescent="0.3">
      <c r="A508" s="27" t="s">
        <v>820</v>
      </c>
      <c r="B508" s="27" t="s">
        <v>11</v>
      </c>
      <c r="C508">
        <v>139.65</v>
      </c>
      <c r="D508">
        <v>144.69999999999999</v>
      </c>
      <c r="E508" s="27" t="s">
        <v>819</v>
      </c>
      <c r="F508" s="27"/>
    </row>
    <row r="509" spans="1:6" x14ac:dyDescent="0.3">
      <c r="A509" s="27" t="s">
        <v>822</v>
      </c>
      <c r="B509" s="27" t="s">
        <v>35</v>
      </c>
      <c r="C509">
        <v>1.38</v>
      </c>
      <c r="D509">
        <v>1.43</v>
      </c>
      <c r="E509" s="27" t="s">
        <v>819</v>
      </c>
      <c r="F509" s="27"/>
    </row>
    <row r="510" spans="1:6" x14ac:dyDescent="0.3">
      <c r="A510" s="27" t="s">
        <v>926</v>
      </c>
      <c r="B510" s="27" t="s">
        <v>10</v>
      </c>
      <c r="C510">
        <v>81.599999999999994</v>
      </c>
      <c r="D510">
        <v>84.55</v>
      </c>
      <c r="E510" s="27" t="s">
        <v>819</v>
      </c>
      <c r="F510" s="27"/>
    </row>
    <row r="511" spans="1:6" x14ac:dyDescent="0.3">
      <c r="A511" s="27" t="s">
        <v>823</v>
      </c>
      <c r="B511" s="27" t="s">
        <v>33</v>
      </c>
      <c r="C511">
        <v>1773.5</v>
      </c>
      <c r="D511">
        <v>1837.75</v>
      </c>
      <c r="E511" s="27" t="s">
        <v>819</v>
      </c>
      <c r="F511" s="27"/>
    </row>
    <row r="512" spans="1:6" x14ac:dyDescent="0.3">
      <c r="A512" s="27" t="s">
        <v>821</v>
      </c>
      <c r="B512" s="27" t="s">
        <v>10</v>
      </c>
      <c r="C512">
        <v>89.8</v>
      </c>
      <c r="D512">
        <v>93.05</v>
      </c>
      <c r="E512" s="27" t="s">
        <v>819</v>
      </c>
      <c r="F512" s="27"/>
    </row>
    <row r="513" spans="1:6" x14ac:dyDescent="0.3">
      <c r="A513" s="27" t="s">
        <v>1203</v>
      </c>
      <c r="B513" s="27" t="s">
        <v>10</v>
      </c>
      <c r="C513">
        <v>167.85</v>
      </c>
      <c r="D513">
        <v>173.9</v>
      </c>
      <c r="E513" s="27" t="s">
        <v>826</v>
      </c>
      <c r="F513" s="27"/>
    </row>
    <row r="514" spans="1:6" x14ac:dyDescent="0.3">
      <c r="A514" s="27" t="s">
        <v>827</v>
      </c>
      <c r="B514" s="27" t="s">
        <v>33</v>
      </c>
      <c r="C514">
        <v>113.8</v>
      </c>
      <c r="D514">
        <v>117.9</v>
      </c>
      <c r="E514" s="27" t="s">
        <v>826</v>
      </c>
      <c r="F514" s="27"/>
    </row>
    <row r="515" spans="1:6" x14ac:dyDescent="0.3">
      <c r="A515" s="27" t="s">
        <v>825</v>
      </c>
      <c r="B515" s="27" t="s">
        <v>33</v>
      </c>
      <c r="C515">
        <v>6.39</v>
      </c>
      <c r="D515">
        <v>6.62</v>
      </c>
      <c r="E515" s="27" t="s">
        <v>826</v>
      </c>
      <c r="F515" s="27"/>
    </row>
    <row r="516" spans="1:6" x14ac:dyDescent="0.3">
      <c r="A516" s="27" t="s">
        <v>828</v>
      </c>
      <c r="B516" s="27" t="s">
        <v>10</v>
      </c>
      <c r="C516">
        <v>14.16</v>
      </c>
      <c r="D516">
        <v>14.67</v>
      </c>
      <c r="E516" s="27" t="s">
        <v>826</v>
      </c>
      <c r="F516" s="27"/>
    </row>
    <row r="517" spans="1:6" x14ac:dyDescent="0.3">
      <c r="A517" s="27" t="s">
        <v>831</v>
      </c>
      <c r="B517" s="27" t="s">
        <v>328</v>
      </c>
      <c r="C517">
        <v>677.65</v>
      </c>
      <c r="D517">
        <v>702</v>
      </c>
      <c r="E517" s="27" t="s">
        <v>832</v>
      </c>
      <c r="F517" s="27"/>
    </row>
    <row r="518" spans="1:6" x14ac:dyDescent="0.3">
      <c r="A518" s="27" t="s">
        <v>881</v>
      </c>
      <c r="B518" s="27" t="s">
        <v>11</v>
      </c>
      <c r="C518">
        <v>44.55</v>
      </c>
      <c r="D518">
        <v>46.15</v>
      </c>
      <c r="E518" s="27" t="s">
        <v>832</v>
      </c>
      <c r="F518" s="27"/>
    </row>
    <row r="519" spans="1:6" x14ac:dyDescent="0.3">
      <c r="A519" s="27" t="s">
        <v>852</v>
      </c>
      <c r="B519" s="27" t="s">
        <v>11</v>
      </c>
      <c r="C519">
        <v>176.8</v>
      </c>
      <c r="D519">
        <v>183.15</v>
      </c>
      <c r="E519" s="27" t="s">
        <v>832</v>
      </c>
      <c r="F519" s="27"/>
    </row>
    <row r="520" spans="1:6" x14ac:dyDescent="0.3">
      <c r="A520" s="27" t="s">
        <v>833</v>
      </c>
      <c r="B520" s="27" t="s">
        <v>10</v>
      </c>
      <c r="C520">
        <v>294.39999999999998</v>
      </c>
      <c r="D520">
        <v>304.95</v>
      </c>
      <c r="E520" s="27" t="s">
        <v>834</v>
      </c>
      <c r="F520" s="27"/>
    </row>
    <row r="521" spans="1:6" x14ac:dyDescent="0.3">
      <c r="A521" s="27" t="s">
        <v>837</v>
      </c>
      <c r="B521" s="27" t="s">
        <v>33</v>
      </c>
      <c r="C521">
        <v>56</v>
      </c>
      <c r="D521">
        <v>58</v>
      </c>
      <c r="E521" s="27" t="s">
        <v>836</v>
      </c>
      <c r="F521" s="27"/>
    </row>
    <row r="522" spans="1:6" x14ac:dyDescent="0.3">
      <c r="A522" s="27" t="s">
        <v>840</v>
      </c>
      <c r="B522" s="27" t="s">
        <v>11</v>
      </c>
      <c r="C522">
        <v>90</v>
      </c>
      <c r="D522">
        <v>93.2</v>
      </c>
      <c r="E522" s="27" t="s">
        <v>839</v>
      </c>
      <c r="F522" s="27"/>
    </row>
    <row r="523" spans="1:6" x14ac:dyDescent="0.3">
      <c r="A523" s="27" t="s">
        <v>1899</v>
      </c>
      <c r="B523" s="27" t="s">
        <v>11</v>
      </c>
      <c r="C523">
        <v>134.65</v>
      </c>
      <c r="D523">
        <v>139.44999999999999</v>
      </c>
      <c r="E523" s="27" t="s">
        <v>839</v>
      </c>
      <c r="F523" s="27"/>
    </row>
    <row r="524" spans="1:6" x14ac:dyDescent="0.3">
      <c r="A524" s="27" t="s">
        <v>841</v>
      </c>
      <c r="B524" s="27" t="s">
        <v>11</v>
      </c>
      <c r="C524">
        <v>30.95</v>
      </c>
      <c r="D524">
        <v>32.049999999999997</v>
      </c>
      <c r="E524" s="27" t="s">
        <v>842</v>
      </c>
      <c r="F524" s="27"/>
    </row>
    <row r="525" spans="1:6" x14ac:dyDescent="0.3">
      <c r="A525" s="27" t="s">
        <v>643</v>
      </c>
      <c r="B525" s="27" t="s">
        <v>11</v>
      </c>
      <c r="C525">
        <v>1.1299999999999999</v>
      </c>
      <c r="D525">
        <v>1.17</v>
      </c>
      <c r="E525" s="27" t="s">
        <v>3353</v>
      </c>
      <c r="F525" s="27"/>
    </row>
    <row r="526" spans="1:6" x14ac:dyDescent="0.3">
      <c r="A526" s="27" t="s">
        <v>845</v>
      </c>
      <c r="B526" s="27" t="s">
        <v>33</v>
      </c>
      <c r="C526">
        <v>5.95</v>
      </c>
      <c r="D526">
        <v>6.16</v>
      </c>
      <c r="E526" s="27" t="s">
        <v>844</v>
      </c>
      <c r="F526" s="27"/>
    </row>
    <row r="527" spans="1:6" x14ac:dyDescent="0.3">
      <c r="A527" s="27" t="s">
        <v>843</v>
      </c>
      <c r="B527" s="27" t="s">
        <v>33</v>
      </c>
      <c r="C527">
        <v>35.450000000000003</v>
      </c>
      <c r="D527">
        <v>36.700000000000003</v>
      </c>
      <c r="E527" s="27" t="s">
        <v>844</v>
      </c>
      <c r="F527" s="27"/>
    </row>
    <row r="528" spans="1:6" x14ac:dyDescent="0.3">
      <c r="A528" s="27" t="s">
        <v>850</v>
      </c>
      <c r="B528" s="27" t="s">
        <v>328</v>
      </c>
      <c r="C528">
        <v>2.84</v>
      </c>
      <c r="D528">
        <v>2.94</v>
      </c>
      <c r="E528" s="27" t="s">
        <v>848</v>
      </c>
      <c r="F528" s="27"/>
    </row>
    <row r="529" spans="1:6" x14ac:dyDescent="0.3">
      <c r="A529" s="27" t="s">
        <v>745</v>
      </c>
      <c r="B529" s="27" t="s">
        <v>10</v>
      </c>
      <c r="C529">
        <v>384.45</v>
      </c>
      <c r="D529">
        <v>398</v>
      </c>
      <c r="E529" s="27" t="s">
        <v>848</v>
      </c>
      <c r="F529" s="27"/>
    </row>
    <row r="530" spans="1:6" x14ac:dyDescent="0.3">
      <c r="A530" s="27" t="s">
        <v>849</v>
      </c>
      <c r="B530" s="27" t="s">
        <v>33</v>
      </c>
      <c r="C530">
        <v>9.08</v>
      </c>
      <c r="D530">
        <v>9.4</v>
      </c>
      <c r="E530" s="27" t="s">
        <v>848</v>
      </c>
      <c r="F530" s="27"/>
    </row>
    <row r="531" spans="1:6" x14ac:dyDescent="0.3">
      <c r="A531" s="27" t="s">
        <v>853</v>
      </c>
      <c r="B531" s="27" t="s">
        <v>328</v>
      </c>
      <c r="C531">
        <v>20</v>
      </c>
      <c r="D531">
        <v>20.7</v>
      </c>
      <c r="E531" s="27" t="s">
        <v>854</v>
      </c>
      <c r="F531" s="27"/>
    </row>
    <row r="532" spans="1:6" x14ac:dyDescent="0.3">
      <c r="A532" s="27" t="s">
        <v>855</v>
      </c>
      <c r="B532" s="27" t="s">
        <v>33</v>
      </c>
      <c r="C532">
        <v>233.7</v>
      </c>
      <c r="D532">
        <v>241.85</v>
      </c>
      <c r="E532" s="27" t="s">
        <v>856</v>
      </c>
      <c r="F532" s="27"/>
    </row>
    <row r="533" spans="1:6" x14ac:dyDescent="0.3">
      <c r="A533" s="27" t="s">
        <v>758</v>
      </c>
      <c r="B533" s="27" t="s">
        <v>11</v>
      </c>
      <c r="C533">
        <v>506.6</v>
      </c>
      <c r="D533">
        <v>524.25</v>
      </c>
      <c r="E533" s="27" t="s">
        <v>3354</v>
      </c>
      <c r="F533" s="27"/>
    </row>
    <row r="534" spans="1:6" x14ac:dyDescent="0.3">
      <c r="A534" s="27" t="s">
        <v>857</v>
      </c>
      <c r="B534" s="27" t="s">
        <v>33</v>
      </c>
      <c r="C534">
        <v>13.82</v>
      </c>
      <c r="D534">
        <v>14.3</v>
      </c>
      <c r="E534" s="27" t="s">
        <v>858</v>
      </c>
      <c r="F534" s="27"/>
    </row>
    <row r="535" spans="1:6" x14ac:dyDescent="0.3">
      <c r="A535" s="27" t="s">
        <v>860</v>
      </c>
      <c r="B535" s="27" t="s">
        <v>11</v>
      </c>
      <c r="C535">
        <v>28.8</v>
      </c>
      <c r="D535">
        <v>29.8</v>
      </c>
      <c r="E535" s="27" t="s">
        <v>858</v>
      </c>
      <c r="F535" s="27"/>
    </row>
    <row r="536" spans="1:6" x14ac:dyDescent="0.3">
      <c r="A536" s="27" t="s">
        <v>900</v>
      </c>
      <c r="B536" s="27" t="s">
        <v>10</v>
      </c>
      <c r="C536">
        <v>82.3</v>
      </c>
      <c r="D536">
        <v>85.15</v>
      </c>
      <c r="E536" s="27" t="s">
        <v>3355</v>
      </c>
      <c r="F536" s="27"/>
    </row>
    <row r="537" spans="1:6" x14ac:dyDescent="0.3">
      <c r="A537" s="27" t="s">
        <v>861</v>
      </c>
      <c r="B537" s="27" t="s">
        <v>328</v>
      </c>
      <c r="C537">
        <v>0.57999999999999996</v>
      </c>
      <c r="D537">
        <v>0.6</v>
      </c>
      <c r="E537" s="27" t="s">
        <v>862</v>
      </c>
      <c r="F537" s="27"/>
    </row>
    <row r="538" spans="1:6" x14ac:dyDescent="0.3">
      <c r="A538" s="27" t="s">
        <v>869</v>
      </c>
      <c r="B538" s="27" t="s">
        <v>10</v>
      </c>
      <c r="C538">
        <v>197.15</v>
      </c>
      <c r="D538">
        <v>203.95</v>
      </c>
      <c r="E538" s="27" t="s">
        <v>862</v>
      </c>
      <c r="F538" s="27"/>
    </row>
    <row r="539" spans="1:6" x14ac:dyDescent="0.3">
      <c r="A539" s="27" t="s">
        <v>757</v>
      </c>
      <c r="B539" s="27" t="s">
        <v>10</v>
      </c>
      <c r="C539">
        <v>64</v>
      </c>
      <c r="D539">
        <v>66.2</v>
      </c>
      <c r="E539" s="27" t="s">
        <v>864</v>
      </c>
      <c r="F539" s="27"/>
    </row>
    <row r="540" spans="1:6" x14ac:dyDescent="0.3">
      <c r="A540" s="27" t="s">
        <v>884</v>
      </c>
      <c r="B540" s="27" t="s">
        <v>10</v>
      </c>
      <c r="C540">
        <v>372.35</v>
      </c>
      <c r="D540">
        <v>385.15</v>
      </c>
      <c r="E540" s="27" t="s">
        <v>864</v>
      </c>
      <c r="F540" s="27"/>
    </row>
    <row r="541" spans="1:6" x14ac:dyDescent="0.3">
      <c r="A541" s="27" t="s">
        <v>866</v>
      </c>
      <c r="B541" s="27" t="s">
        <v>33</v>
      </c>
      <c r="C541">
        <v>91.65</v>
      </c>
      <c r="D541">
        <v>94.8</v>
      </c>
      <c r="E541" s="27" t="s">
        <v>864</v>
      </c>
      <c r="F541" s="27"/>
    </row>
    <row r="542" spans="1:6" x14ac:dyDescent="0.3">
      <c r="A542" s="27" t="s">
        <v>835</v>
      </c>
      <c r="B542" s="27" t="s">
        <v>10</v>
      </c>
      <c r="C542">
        <v>240.75</v>
      </c>
      <c r="D542">
        <v>249</v>
      </c>
      <c r="E542" s="27" t="s">
        <v>868</v>
      </c>
      <c r="F542" s="27"/>
    </row>
    <row r="543" spans="1:6" x14ac:dyDescent="0.3">
      <c r="A543" s="27" t="s">
        <v>872</v>
      </c>
      <c r="B543" s="27" t="s">
        <v>11</v>
      </c>
      <c r="C543">
        <v>137.30000000000001</v>
      </c>
      <c r="D543">
        <v>142</v>
      </c>
      <c r="E543" s="27" t="s">
        <v>870</v>
      </c>
      <c r="F543" s="27"/>
    </row>
    <row r="544" spans="1:6" x14ac:dyDescent="0.3">
      <c r="A544" s="27" t="s">
        <v>871</v>
      </c>
      <c r="B544" s="27" t="s">
        <v>11</v>
      </c>
      <c r="C544">
        <v>122.9</v>
      </c>
      <c r="D544">
        <v>127.1</v>
      </c>
      <c r="E544" s="27" t="s">
        <v>870</v>
      </c>
      <c r="F544" s="27"/>
    </row>
    <row r="545" spans="1:6" x14ac:dyDescent="0.3">
      <c r="A545" s="27" t="s">
        <v>873</v>
      </c>
      <c r="B545" s="27" t="s">
        <v>33</v>
      </c>
      <c r="C545">
        <v>660.4</v>
      </c>
      <c r="D545">
        <v>682.9</v>
      </c>
      <c r="E545" s="27" t="s">
        <v>874</v>
      </c>
      <c r="F545" s="27"/>
    </row>
    <row r="546" spans="1:6" x14ac:dyDescent="0.3">
      <c r="A546" s="27" t="s">
        <v>838</v>
      </c>
      <c r="B546" s="27" t="s">
        <v>10</v>
      </c>
      <c r="C546">
        <v>29.5</v>
      </c>
      <c r="D546">
        <v>30.5</v>
      </c>
      <c r="E546" s="27" t="s">
        <v>877</v>
      </c>
      <c r="F546" s="27"/>
    </row>
    <row r="547" spans="1:6" x14ac:dyDescent="0.3">
      <c r="A547" s="27" t="s">
        <v>880</v>
      </c>
      <c r="B547" s="27" t="s">
        <v>11</v>
      </c>
      <c r="C547">
        <v>12.74</v>
      </c>
      <c r="D547">
        <v>13.17</v>
      </c>
      <c r="E547" s="27" t="s">
        <v>879</v>
      </c>
      <c r="F547" s="27"/>
    </row>
    <row r="548" spans="1:6" x14ac:dyDescent="0.3">
      <c r="A548" s="27" t="s">
        <v>878</v>
      </c>
      <c r="B548" s="27" t="s">
        <v>11</v>
      </c>
      <c r="C548">
        <v>921.85</v>
      </c>
      <c r="D548">
        <v>953</v>
      </c>
      <c r="E548" s="27" t="s">
        <v>879</v>
      </c>
      <c r="F548" s="27"/>
    </row>
    <row r="549" spans="1:6" x14ac:dyDescent="0.3">
      <c r="A549" s="27" t="s">
        <v>883</v>
      </c>
      <c r="B549" s="27" t="s">
        <v>11</v>
      </c>
      <c r="C549">
        <v>4.45</v>
      </c>
      <c r="D549">
        <v>4.5999999999999996</v>
      </c>
      <c r="E549" s="27" t="s">
        <v>882</v>
      </c>
      <c r="F549" s="27"/>
    </row>
    <row r="550" spans="1:6" x14ac:dyDescent="0.3">
      <c r="A550" s="27" t="s">
        <v>885</v>
      </c>
      <c r="B550" s="27" t="s">
        <v>11</v>
      </c>
      <c r="C550">
        <v>270.89999999999998</v>
      </c>
      <c r="D550">
        <v>280</v>
      </c>
      <c r="E550" s="27" t="s">
        <v>886</v>
      </c>
      <c r="F550" s="27"/>
    </row>
    <row r="551" spans="1:6" x14ac:dyDescent="0.3">
      <c r="A551" s="27" t="s">
        <v>1019</v>
      </c>
      <c r="B551" s="27" t="s">
        <v>10</v>
      </c>
      <c r="C551">
        <v>19.399999999999999</v>
      </c>
      <c r="D551">
        <v>20.05</v>
      </c>
      <c r="E551" s="27" t="s">
        <v>3356</v>
      </c>
      <c r="F551" s="27"/>
    </row>
    <row r="552" spans="1:6" x14ac:dyDescent="0.3">
      <c r="A552" s="27" t="s">
        <v>934</v>
      </c>
      <c r="B552" s="27" t="s">
        <v>10</v>
      </c>
      <c r="C552">
        <v>52.45</v>
      </c>
      <c r="D552">
        <v>54.2</v>
      </c>
      <c r="E552" s="27" t="s">
        <v>3357</v>
      </c>
      <c r="F552" s="27"/>
    </row>
    <row r="553" spans="1:6" x14ac:dyDescent="0.3">
      <c r="A553" s="27" t="s">
        <v>921</v>
      </c>
      <c r="B553" s="27" t="s">
        <v>10</v>
      </c>
      <c r="C553">
        <v>113.95</v>
      </c>
      <c r="D553">
        <v>117.75</v>
      </c>
      <c r="E553" s="27" t="s">
        <v>888</v>
      </c>
      <c r="F553" s="27"/>
    </row>
    <row r="554" spans="1:6" x14ac:dyDescent="0.3">
      <c r="A554" s="27" t="s">
        <v>891</v>
      </c>
      <c r="B554" s="27" t="s">
        <v>29</v>
      </c>
      <c r="C554">
        <v>30</v>
      </c>
      <c r="D554">
        <v>31</v>
      </c>
      <c r="E554" s="27" t="s">
        <v>888</v>
      </c>
      <c r="F554" s="27"/>
    </row>
    <row r="555" spans="1:6" x14ac:dyDescent="0.3">
      <c r="A555" s="27" t="s">
        <v>890</v>
      </c>
      <c r="B555" s="27" t="s">
        <v>328</v>
      </c>
      <c r="C555">
        <v>0.9</v>
      </c>
      <c r="D555">
        <v>0.93</v>
      </c>
      <c r="E555" s="27" t="s">
        <v>888</v>
      </c>
      <c r="F555" s="27"/>
    </row>
    <row r="556" spans="1:6" x14ac:dyDescent="0.3">
      <c r="A556" s="27" t="s">
        <v>887</v>
      </c>
      <c r="B556" s="27" t="s">
        <v>328</v>
      </c>
      <c r="C556">
        <v>0.6</v>
      </c>
      <c r="D556">
        <v>0.62</v>
      </c>
      <c r="E556" s="27" t="s">
        <v>888</v>
      </c>
      <c r="F556" s="27"/>
    </row>
    <row r="557" spans="1:6" x14ac:dyDescent="0.3">
      <c r="A557" s="27" t="s">
        <v>892</v>
      </c>
      <c r="B557" s="27" t="s">
        <v>10</v>
      </c>
      <c r="C557">
        <v>1583.5</v>
      </c>
      <c r="D557">
        <v>1636.15</v>
      </c>
      <c r="E557" s="27" t="s">
        <v>893</v>
      </c>
      <c r="F557" s="27"/>
    </row>
    <row r="558" spans="1:6" x14ac:dyDescent="0.3">
      <c r="A558" s="27" t="s">
        <v>894</v>
      </c>
      <c r="B558" s="27" t="s">
        <v>33</v>
      </c>
      <c r="C558">
        <v>104.05</v>
      </c>
      <c r="D558">
        <v>107.5</v>
      </c>
      <c r="E558" s="27" t="s">
        <v>893</v>
      </c>
      <c r="F558" s="27"/>
    </row>
    <row r="559" spans="1:6" x14ac:dyDescent="0.3">
      <c r="A559" s="27" t="s">
        <v>875</v>
      </c>
      <c r="B559" s="27" t="s">
        <v>10</v>
      </c>
      <c r="C559">
        <v>869.4</v>
      </c>
      <c r="D559">
        <v>898.2</v>
      </c>
      <c r="E559" s="27" t="s">
        <v>896</v>
      </c>
      <c r="F559" s="27"/>
    </row>
    <row r="560" spans="1:6" x14ac:dyDescent="0.3">
      <c r="A560" s="27" t="s">
        <v>895</v>
      </c>
      <c r="B560" s="27" t="s">
        <v>33</v>
      </c>
      <c r="C560">
        <v>77.099999999999994</v>
      </c>
      <c r="D560">
        <v>79.650000000000006</v>
      </c>
      <c r="E560" s="27" t="s">
        <v>896</v>
      </c>
      <c r="F560" s="27"/>
    </row>
    <row r="561" spans="1:6" x14ac:dyDescent="0.3">
      <c r="A561" s="27" t="s">
        <v>897</v>
      </c>
      <c r="B561" s="27" t="s">
        <v>22</v>
      </c>
      <c r="C561">
        <v>37.75</v>
      </c>
      <c r="D561">
        <v>39</v>
      </c>
      <c r="E561" s="27" t="s">
        <v>896</v>
      </c>
      <c r="F561" s="27"/>
    </row>
    <row r="562" spans="1:6" x14ac:dyDescent="0.3">
      <c r="A562" s="27" t="s">
        <v>1661</v>
      </c>
      <c r="B562" s="27" t="s">
        <v>33</v>
      </c>
      <c r="C562">
        <v>460.85</v>
      </c>
      <c r="D562">
        <v>476</v>
      </c>
      <c r="E562" s="27" t="s">
        <v>3358</v>
      </c>
      <c r="F562" s="27"/>
    </row>
    <row r="563" spans="1:6" x14ac:dyDescent="0.3">
      <c r="A563" s="27" t="s">
        <v>984</v>
      </c>
      <c r="B563" s="27" t="s">
        <v>11</v>
      </c>
      <c r="C563">
        <v>3.05</v>
      </c>
      <c r="D563">
        <v>3.15</v>
      </c>
      <c r="E563" s="27" t="s">
        <v>901</v>
      </c>
      <c r="F563" s="27"/>
    </row>
    <row r="564" spans="1:6" x14ac:dyDescent="0.3">
      <c r="A564" s="27" t="s">
        <v>902</v>
      </c>
      <c r="B564" s="27" t="s">
        <v>33</v>
      </c>
      <c r="C564">
        <v>15.25</v>
      </c>
      <c r="D564">
        <v>15.75</v>
      </c>
      <c r="E564" s="27" t="s">
        <v>901</v>
      </c>
      <c r="F564" s="27"/>
    </row>
    <row r="565" spans="1:6" x14ac:dyDescent="0.3">
      <c r="A565" s="27" t="s">
        <v>754</v>
      </c>
      <c r="B565" s="27" t="s">
        <v>11</v>
      </c>
      <c r="C565">
        <v>87.05</v>
      </c>
      <c r="D565">
        <v>89.9</v>
      </c>
      <c r="E565" s="27" t="s">
        <v>3359</v>
      </c>
      <c r="F565" s="27"/>
    </row>
    <row r="566" spans="1:6" x14ac:dyDescent="0.3">
      <c r="A566" s="27" t="s">
        <v>904</v>
      </c>
      <c r="B566" s="27" t="s">
        <v>33</v>
      </c>
      <c r="C566">
        <v>53.65</v>
      </c>
      <c r="D566">
        <v>55.4</v>
      </c>
      <c r="E566" s="27" t="s">
        <v>905</v>
      </c>
      <c r="F566" s="27"/>
    </row>
    <row r="567" spans="1:6" x14ac:dyDescent="0.3">
      <c r="A567" s="27" t="s">
        <v>909</v>
      </c>
      <c r="B567" s="27" t="s">
        <v>11</v>
      </c>
      <c r="C567">
        <v>43.05</v>
      </c>
      <c r="D567">
        <v>44.45</v>
      </c>
      <c r="E567" s="27" t="s">
        <v>908</v>
      </c>
      <c r="F567" s="27"/>
    </row>
    <row r="568" spans="1:6" x14ac:dyDescent="0.3">
      <c r="A568" s="27" t="s">
        <v>910</v>
      </c>
      <c r="B568" s="27" t="s">
        <v>33</v>
      </c>
      <c r="C568">
        <v>7.7</v>
      </c>
      <c r="D568">
        <v>7.95</v>
      </c>
      <c r="E568" s="27" t="s">
        <v>908</v>
      </c>
      <c r="F568" s="27"/>
    </row>
    <row r="569" spans="1:6" x14ac:dyDescent="0.3">
      <c r="A569" s="27" t="s">
        <v>907</v>
      </c>
      <c r="B569" s="27" t="s">
        <v>11</v>
      </c>
      <c r="C569">
        <v>929.75</v>
      </c>
      <c r="D569">
        <v>960</v>
      </c>
      <c r="E569" s="27" t="s">
        <v>908</v>
      </c>
      <c r="F569" s="27"/>
    </row>
    <row r="570" spans="1:6" x14ac:dyDescent="0.3">
      <c r="A570" s="27" t="s">
        <v>906</v>
      </c>
      <c r="B570" s="27" t="s">
        <v>10</v>
      </c>
      <c r="C570">
        <v>1795.1</v>
      </c>
      <c r="D570">
        <v>1853.5</v>
      </c>
      <c r="E570" s="27" t="s">
        <v>908</v>
      </c>
      <c r="F570" s="27"/>
    </row>
    <row r="571" spans="1:6" x14ac:dyDescent="0.3">
      <c r="A571" s="27" t="s">
        <v>898</v>
      </c>
      <c r="B571" s="27" t="s">
        <v>10</v>
      </c>
      <c r="C571">
        <v>1972.95</v>
      </c>
      <c r="D571">
        <v>2036.85</v>
      </c>
      <c r="E571" s="27" t="s">
        <v>912</v>
      </c>
      <c r="F571" s="27"/>
    </row>
    <row r="572" spans="1:6" x14ac:dyDescent="0.3">
      <c r="A572" s="27" t="s">
        <v>911</v>
      </c>
      <c r="B572" s="27" t="s">
        <v>10</v>
      </c>
      <c r="C572">
        <v>2368.35</v>
      </c>
      <c r="D572">
        <v>2445</v>
      </c>
      <c r="E572" s="27" t="s">
        <v>912</v>
      </c>
      <c r="F572" s="27"/>
    </row>
    <row r="573" spans="1:6" x14ac:dyDescent="0.3">
      <c r="A573" s="27" t="s">
        <v>913</v>
      </c>
      <c r="B573" s="27" t="s">
        <v>10</v>
      </c>
      <c r="C573">
        <v>52.5</v>
      </c>
      <c r="D573">
        <v>54.2</v>
      </c>
      <c r="E573" s="27" t="s">
        <v>912</v>
      </c>
      <c r="F573" s="27"/>
    </row>
    <row r="574" spans="1:6" x14ac:dyDescent="0.3">
      <c r="A574" s="27" t="s">
        <v>1000</v>
      </c>
      <c r="B574" s="27" t="s">
        <v>10</v>
      </c>
      <c r="C574">
        <v>900.65</v>
      </c>
      <c r="D574">
        <v>929.75</v>
      </c>
      <c r="E574" s="27" t="s">
        <v>915</v>
      </c>
      <c r="F574" s="27"/>
    </row>
    <row r="575" spans="1:6" x14ac:dyDescent="0.3">
      <c r="A575" s="27" t="s">
        <v>914</v>
      </c>
      <c r="B575" s="27" t="s">
        <v>29</v>
      </c>
      <c r="C575">
        <v>5.57</v>
      </c>
      <c r="D575">
        <v>5.75</v>
      </c>
      <c r="E575" s="27" t="s">
        <v>915</v>
      </c>
      <c r="F575" s="27"/>
    </row>
    <row r="576" spans="1:6" x14ac:dyDescent="0.3">
      <c r="A576" s="27" t="s">
        <v>916</v>
      </c>
      <c r="B576" s="27" t="s">
        <v>10</v>
      </c>
      <c r="C576">
        <v>150.55000000000001</v>
      </c>
      <c r="D576">
        <v>155.4</v>
      </c>
      <c r="E576" s="27" t="s">
        <v>917</v>
      </c>
      <c r="F576" s="27"/>
    </row>
    <row r="577" spans="1:6" x14ac:dyDescent="0.3">
      <c r="A577" s="27" t="s">
        <v>286</v>
      </c>
      <c r="B577" s="27" t="s">
        <v>33</v>
      </c>
      <c r="C577">
        <v>436</v>
      </c>
      <c r="D577">
        <v>450</v>
      </c>
      <c r="E577" s="27" t="s">
        <v>919</v>
      </c>
      <c r="F577" s="27"/>
    </row>
    <row r="578" spans="1:6" x14ac:dyDescent="0.3">
      <c r="A578" s="27" t="s">
        <v>920</v>
      </c>
      <c r="B578" s="27" t="s">
        <v>33</v>
      </c>
      <c r="C578">
        <v>183.8</v>
      </c>
      <c r="D578">
        <v>189.7</v>
      </c>
      <c r="E578" s="27" t="s">
        <v>919</v>
      </c>
      <c r="F578" s="27"/>
    </row>
    <row r="579" spans="1:6" x14ac:dyDescent="0.3">
      <c r="A579" s="27" t="s">
        <v>969</v>
      </c>
      <c r="B579" s="27" t="s">
        <v>11</v>
      </c>
      <c r="C579">
        <v>166.65</v>
      </c>
      <c r="D579">
        <v>172</v>
      </c>
      <c r="E579" s="27" t="s">
        <v>919</v>
      </c>
      <c r="F579" s="27"/>
    </row>
    <row r="580" spans="1:6" x14ac:dyDescent="0.3">
      <c r="A580" s="27" t="s">
        <v>923</v>
      </c>
      <c r="B580" s="27" t="s">
        <v>11</v>
      </c>
      <c r="C580">
        <v>303.3</v>
      </c>
      <c r="D580">
        <v>313.05</v>
      </c>
      <c r="E580" s="27" t="s">
        <v>919</v>
      </c>
      <c r="F580" s="27"/>
    </row>
    <row r="581" spans="1:6" x14ac:dyDescent="0.3">
      <c r="A581" s="27" t="s">
        <v>924</v>
      </c>
      <c r="B581" s="27" t="s">
        <v>35</v>
      </c>
      <c r="C581">
        <v>1.25</v>
      </c>
      <c r="D581">
        <v>1.29</v>
      </c>
      <c r="E581" s="27" t="s">
        <v>922</v>
      </c>
      <c r="F581" s="27"/>
    </row>
    <row r="582" spans="1:6" x14ac:dyDescent="0.3">
      <c r="A582" s="27" t="s">
        <v>918</v>
      </c>
      <c r="B582" s="27" t="s">
        <v>10</v>
      </c>
      <c r="C582">
        <v>472.85</v>
      </c>
      <c r="D582">
        <v>488</v>
      </c>
      <c r="E582" s="27" t="s">
        <v>922</v>
      </c>
      <c r="F582" s="27"/>
    </row>
    <row r="583" spans="1:6" x14ac:dyDescent="0.3">
      <c r="A583" s="27" t="s">
        <v>925</v>
      </c>
      <c r="B583" s="27" t="s">
        <v>10</v>
      </c>
      <c r="C583">
        <v>256.64999999999998</v>
      </c>
      <c r="D583">
        <v>264.85000000000002</v>
      </c>
      <c r="E583" s="27" t="s">
        <v>922</v>
      </c>
      <c r="F583" s="27"/>
    </row>
    <row r="584" spans="1:6" x14ac:dyDescent="0.3">
      <c r="A584" s="27" t="s">
        <v>1091</v>
      </c>
      <c r="B584" s="27" t="s">
        <v>10</v>
      </c>
      <c r="C584">
        <v>51.5</v>
      </c>
      <c r="D584">
        <v>53.15</v>
      </c>
      <c r="E584" s="27" t="s">
        <v>922</v>
      </c>
      <c r="F584" s="27"/>
    </row>
    <row r="585" spans="1:6" x14ac:dyDescent="0.3">
      <c r="A585" s="27" t="s">
        <v>851</v>
      </c>
      <c r="B585" s="27" t="s">
        <v>11</v>
      </c>
      <c r="C585">
        <v>310.60000000000002</v>
      </c>
      <c r="D585">
        <v>320.5</v>
      </c>
      <c r="E585" s="27" t="s">
        <v>927</v>
      </c>
      <c r="F585" s="27"/>
    </row>
    <row r="586" spans="1:6" x14ac:dyDescent="0.3">
      <c r="A586" s="27" t="s">
        <v>928</v>
      </c>
      <c r="B586" s="27" t="s">
        <v>10</v>
      </c>
      <c r="C586">
        <v>551.25</v>
      </c>
      <c r="D586">
        <v>568.85</v>
      </c>
      <c r="E586" s="27" t="s">
        <v>927</v>
      </c>
      <c r="F586" s="27"/>
    </row>
    <row r="587" spans="1:6" x14ac:dyDescent="0.3">
      <c r="A587" s="27" t="s">
        <v>903</v>
      </c>
      <c r="B587" s="27" t="s">
        <v>10</v>
      </c>
      <c r="C587">
        <v>122.1</v>
      </c>
      <c r="D587">
        <v>126</v>
      </c>
      <c r="E587" s="27" t="s">
        <v>927</v>
      </c>
      <c r="F587" s="27"/>
    </row>
    <row r="588" spans="1:6" x14ac:dyDescent="0.3">
      <c r="A588" s="27" t="s">
        <v>847</v>
      </c>
      <c r="B588" s="27" t="s">
        <v>29</v>
      </c>
      <c r="C588">
        <v>29.85</v>
      </c>
      <c r="D588">
        <v>30.8</v>
      </c>
      <c r="E588" s="27" t="s">
        <v>930</v>
      </c>
      <c r="F588" s="27"/>
    </row>
    <row r="589" spans="1:6" x14ac:dyDescent="0.3">
      <c r="A589" s="27" t="s">
        <v>829</v>
      </c>
      <c r="B589" s="27" t="s">
        <v>10</v>
      </c>
      <c r="C589">
        <v>4213.3</v>
      </c>
      <c r="D589">
        <v>4347.45</v>
      </c>
      <c r="E589" s="27" t="s">
        <v>930</v>
      </c>
      <c r="F589" s="27"/>
    </row>
    <row r="590" spans="1:6" x14ac:dyDescent="0.3">
      <c r="A590" s="27" t="s">
        <v>929</v>
      </c>
      <c r="B590" s="27" t="s">
        <v>10</v>
      </c>
      <c r="C590">
        <v>259.25</v>
      </c>
      <c r="D590">
        <v>267.5</v>
      </c>
      <c r="E590" s="27" t="s">
        <v>930</v>
      </c>
      <c r="F590" s="27"/>
    </row>
    <row r="591" spans="1:6" x14ac:dyDescent="0.3">
      <c r="A591" s="27" t="s">
        <v>931</v>
      </c>
      <c r="B591" s="27" t="s">
        <v>35</v>
      </c>
      <c r="C591">
        <v>1.26</v>
      </c>
      <c r="D591">
        <v>1.3</v>
      </c>
      <c r="E591" s="27" t="s">
        <v>932</v>
      </c>
      <c r="F591" s="27"/>
    </row>
    <row r="592" spans="1:6" x14ac:dyDescent="0.3">
      <c r="A592" s="27" t="s">
        <v>1004</v>
      </c>
      <c r="B592" s="27" t="s">
        <v>10</v>
      </c>
      <c r="C592">
        <v>406.3</v>
      </c>
      <c r="D592">
        <v>419.1</v>
      </c>
      <c r="E592" s="27" t="s">
        <v>935</v>
      </c>
      <c r="F592" s="27"/>
    </row>
    <row r="593" spans="1:6" x14ac:dyDescent="0.3">
      <c r="A593" s="27" t="s">
        <v>936</v>
      </c>
      <c r="B593" s="27" t="s">
        <v>11</v>
      </c>
      <c r="C593">
        <v>240.45</v>
      </c>
      <c r="D593">
        <v>248</v>
      </c>
      <c r="E593" s="27" t="s">
        <v>937</v>
      </c>
      <c r="F593" s="27"/>
    </row>
    <row r="594" spans="1:6" x14ac:dyDescent="0.3">
      <c r="A594" s="27" t="s">
        <v>933</v>
      </c>
      <c r="B594" s="27" t="s">
        <v>33</v>
      </c>
      <c r="C594">
        <v>350</v>
      </c>
      <c r="D594">
        <v>361</v>
      </c>
      <c r="E594" s="27" t="s">
        <v>937</v>
      </c>
      <c r="F594" s="27"/>
    </row>
    <row r="595" spans="1:6" x14ac:dyDescent="0.3">
      <c r="A595" s="27" t="s">
        <v>938</v>
      </c>
      <c r="B595" s="27" t="s">
        <v>35</v>
      </c>
      <c r="C595">
        <v>1.91</v>
      </c>
      <c r="D595">
        <v>1.97</v>
      </c>
      <c r="E595" s="27" t="s">
        <v>937</v>
      </c>
      <c r="F595" s="27"/>
    </row>
    <row r="596" spans="1:6" x14ac:dyDescent="0.3">
      <c r="A596" s="27" t="s">
        <v>876</v>
      </c>
      <c r="B596" s="27" t="s">
        <v>10</v>
      </c>
      <c r="C596">
        <v>324.5</v>
      </c>
      <c r="D596">
        <v>334.65</v>
      </c>
      <c r="E596" s="27" t="s">
        <v>941</v>
      </c>
      <c r="F596" s="27"/>
    </row>
    <row r="597" spans="1:6" x14ac:dyDescent="0.3">
      <c r="A597" s="27" t="s">
        <v>942</v>
      </c>
      <c r="B597" s="27" t="s">
        <v>33</v>
      </c>
      <c r="C597">
        <v>40</v>
      </c>
      <c r="D597">
        <v>41.25</v>
      </c>
      <c r="E597" s="27" t="s">
        <v>941</v>
      </c>
      <c r="F597" s="27"/>
    </row>
    <row r="598" spans="1:6" x14ac:dyDescent="0.3">
      <c r="A598" s="27" t="s">
        <v>940</v>
      </c>
      <c r="B598" s="27" t="s">
        <v>11</v>
      </c>
      <c r="C598">
        <v>12.15</v>
      </c>
      <c r="D598">
        <v>12.53</v>
      </c>
      <c r="E598" s="27" t="s">
        <v>941</v>
      </c>
      <c r="F598" s="27"/>
    </row>
    <row r="599" spans="1:6" x14ac:dyDescent="0.3">
      <c r="A599" s="27" t="s">
        <v>943</v>
      </c>
      <c r="B599" s="27" t="s">
        <v>328</v>
      </c>
      <c r="C599">
        <v>30.4</v>
      </c>
      <c r="D599">
        <v>31.35</v>
      </c>
      <c r="E599" s="27" t="s">
        <v>941</v>
      </c>
      <c r="F599" s="27"/>
    </row>
    <row r="600" spans="1:6" x14ac:dyDescent="0.3">
      <c r="A600" s="27" t="s">
        <v>1081</v>
      </c>
      <c r="B600" s="27" t="s">
        <v>10</v>
      </c>
      <c r="C600">
        <v>276.05</v>
      </c>
      <c r="D600">
        <v>284.7</v>
      </c>
      <c r="E600" s="27" t="s">
        <v>941</v>
      </c>
      <c r="F600" s="27"/>
    </row>
    <row r="601" spans="1:6" x14ac:dyDescent="0.3">
      <c r="A601" s="27" t="s">
        <v>945</v>
      </c>
      <c r="B601" s="27" t="s">
        <v>33</v>
      </c>
      <c r="C601">
        <v>32.200000000000003</v>
      </c>
      <c r="D601">
        <v>33.200000000000003</v>
      </c>
      <c r="E601" s="27" t="s">
        <v>946</v>
      </c>
      <c r="F601" s="27"/>
    </row>
    <row r="602" spans="1:6" x14ac:dyDescent="0.3">
      <c r="A602" s="27" t="s">
        <v>705</v>
      </c>
      <c r="B602" s="27" t="s">
        <v>10</v>
      </c>
      <c r="C602">
        <v>481.25</v>
      </c>
      <c r="D602">
        <v>496.2</v>
      </c>
      <c r="E602" s="27" t="s">
        <v>946</v>
      </c>
      <c r="F602" s="27"/>
    </row>
    <row r="603" spans="1:6" x14ac:dyDescent="0.3">
      <c r="A603" s="27" t="s">
        <v>939</v>
      </c>
      <c r="B603" s="27" t="s">
        <v>11</v>
      </c>
      <c r="C603">
        <v>1813.55</v>
      </c>
      <c r="D603">
        <v>1869.9</v>
      </c>
      <c r="E603" s="27" t="s">
        <v>946</v>
      </c>
      <c r="F603" s="27"/>
    </row>
    <row r="604" spans="1:6" x14ac:dyDescent="0.3">
      <c r="A604" s="27" t="s">
        <v>948</v>
      </c>
      <c r="B604" s="27" t="s">
        <v>33</v>
      </c>
      <c r="C604">
        <v>95.05</v>
      </c>
      <c r="D604">
        <v>98</v>
      </c>
      <c r="E604" s="27" t="s">
        <v>949</v>
      </c>
      <c r="F604" s="27"/>
    </row>
    <row r="605" spans="1:6" x14ac:dyDescent="0.3">
      <c r="A605" s="27" t="s">
        <v>950</v>
      </c>
      <c r="B605" s="27" t="s">
        <v>33</v>
      </c>
      <c r="C605">
        <v>38.85</v>
      </c>
      <c r="D605">
        <v>40.049999999999997</v>
      </c>
      <c r="E605" s="27" t="s">
        <v>951</v>
      </c>
      <c r="F605" s="27"/>
    </row>
    <row r="606" spans="1:6" x14ac:dyDescent="0.3">
      <c r="A606" s="27" t="s">
        <v>952</v>
      </c>
      <c r="B606" s="27" t="s">
        <v>33</v>
      </c>
      <c r="C606">
        <v>63.05</v>
      </c>
      <c r="D606">
        <v>65</v>
      </c>
      <c r="E606" s="27" t="s">
        <v>951</v>
      </c>
      <c r="F606" s="27"/>
    </row>
    <row r="607" spans="1:6" x14ac:dyDescent="0.3">
      <c r="A607" s="27" t="s">
        <v>960</v>
      </c>
      <c r="B607" s="27" t="s">
        <v>11</v>
      </c>
      <c r="C607">
        <v>47.45</v>
      </c>
      <c r="D607">
        <v>48.9</v>
      </c>
      <c r="E607" s="27" t="s">
        <v>957</v>
      </c>
      <c r="F607" s="27"/>
    </row>
    <row r="608" spans="1:6" x14ac:dyDescent="0.3">
      <c r="A608" s="27" t="s">
        <v>961</v>
      </c>
      <c r="B608" s="27" t="s">
        <v>33</v>
      </c>
      <c r="C608">
        <v>52.3</v>
      </c>
      <c r="D608">
        <v>53.9</v>
      </c>
      <c r="E608" s="27" t="s">
        <v>957</v>
      </c>
      <c r="F608" s="27"/>
    </row>
    <row r="609" spans="1:6" x14ac:dyDescent="0.3">
      <c r="A609" s="27" t="s">
        <v>958</v>
      </c>
      <c r="B609" s="27" t="s">
        <v>33</v>
      </c>
      <c r="C609">
        <v>31.05</v>
      </c>
      <c r="D609">
        <v>32</v>
      </c>
      <c r="E609" s="27" t="s">
        <v>957</v>
      </c>
      <c r="F609" s="27"/>
    </row>
    <row r="610" spans="1:6" x14ac:dyDescent="0.3">
      <c r="A610" s="27" t="s">
        <v>959</v>
      </c>
      <c r="B610" s="27" t="s">
        <v>29</v>
      </c>
      <c r="C610">
        <v>89.75</v>
      </c>
      <c r="D610">
        <v>92.5</v>
      </c>
      <c r="E610" s="27" t="s">
        <v>957</v>
      </c>
      <c r="F610" s="27"/>
    </row>
    <row r="611" spans="1:6" x14ac:dyDescent="0.3">
      <c r="A611" s="27" t="s">
        <v>962</v>
      </c>
      <c r="B611" s="27" t="s">
        <v>33</v>
      </c>
      <c r="C611">
        <v>31.05</v>
      </c>
      <c r="D611">
        <v>32</v>
      </c>
      <c r="E611" s="27" t="s">
        <v>957</v>
      </c>
      <c r="F611" s="27"/>
    </row>
    <row r="612" spans="1:6" x14ac:dyDescent="0.3">
      <c r="A612" s="27" t="s">
        <v>978</v>
      </c>
      <c r="B612" s="27" t="s">
        <v>11</v>
      </c>
      <c r="C612">
        <v>58.8</v>
      </c>
      <c r="D612">
        <v>60.6</v>
      </c>
      <c r="E612" s="27" t="s">
        <v>957</v>
      </c>
      <c r="F612" s="27"/>
    </row>
    <row r="613" spans="1:6" x14ac:dyDescent="0.3">
      <c r="A613" s="27" t="s">
        <v>944</v>
      </c>
      <c r="B613" s="27" t="s">
        <v>10</v>
      </c>
      <c r="C613">
        <v>81.849999999999994</v>
      </c>
      <c r="D613">
        <v>84.35</v>
      </c>
      <c r="E613" s="27" t="s">
        <v>964</v>
      </c>
      <c r="F613" s="27"/>
    </row>
    <row r="614" spans="1:6" x14ac:dyDescent="0.3">
      <c r="A614" s="27" t="s">
        <v>963</v>
      </c>
      <c r="B614" s="27" t="s">
        <v>29</v>
      </c>
      <c r="C614">
        <v>3.61</v>
      </c>
      <c r="D614">
        <v>3.72</v>
      </c>
      <c r="E614" s="27" t="s">
        <v>964</v>
      </c>
      <c r="F614" s="27"/>
    </row>
    <row r="615" spans="1:6" x14ac:dyDescent="0.3">
      <c r="A615" s="27" t="s">
        <v>3360</v>
      </c>
      <c r="B615" s="27" t="s">
        <v>33</v>
      </c>
      <c r="C615">
        <v>68.900000000000006</v>
      </c>
      <c r="D615">
        <v>71</v>
      </c>
      <c r="E615" s="27" t="s">
        <v>964</v>
      </c>
      <c r="F615" s="27"/>
    </row>
    <row r="616" spans="1:6" x14ac:dyDescent="0.3">
      <c r="A616" s="27" t="s">
        <v>863</v>
      </c>
      <c r="B616" s="27" t="s">
        <v>11</v>
      </c>
      <c r="C616">
        <v>52.4</v>
      </c>
      <c r="D616">
        <v>54</v>
      </c>
      <c r="E616" s="27" t="s">
        <v>964</v>
      </c>
      <c r="F616" s="27"/>
    </row>
    <row r="617" spans="1:6" x14ac:dyDescent="0.3">
      <c r="A617" s="27" t="s">
        <v>967</v>
      </c>
      <c r="B617" s="27" t="s">
        <v>10</v>
      </c>
      <c r="C617">
        <v>1160.6500000000001</v>
      </c>
      <c r="D617">
        <v>1195.95</v>
      </c>
      <c r="E617" s="27" t="s">
        <v>966</v>
      </c>
      <c r="F617" s="27"/>
    </row>
    <row r="618" spans="1:6" x14ac:dyDescent="0.3">
      <c r="A618" s="27" t="s">
        <v>972</v>
      </c>
      <c r="B618" s="27" t="s">
        <v>10</v>
      </c>
      <c r="C618">
        <v>124.3</v>
      </c>
      <c r="D618">
        <v>128.05000000000001</v>
      </c>
      <c r="E618" s="27" t="s">
        <v>971</v>
      </c>
      <c r="F618" s="27"/>
    </row>
    <row r="619" spans="1:6" x14ac:dyDescent="0.3">
      <c r="A619" s="27" t="s">
        <v>970</v>
      </c>
      <c r="B619" s="27" t="s">
        <v>33</v>
      </c>
      <c r="C619">
        <v>51.4</v>
      </c>
      <c r="D619">
        <v>52.95</v>
      </c>
      <c r="E619" s="27" t="s">
        <v>971</v>
      </c>
      <c r="F619" s="27"/>
    </row>
    <row r="620" spans="1:6" x14ac:dyDescent="0.3">
      <c r="A620" s="27" t="s">
        <v>1022</v>
      </c>
      <c r="B620" s="27" t="s">
        <v>10</v>
      </c>
      <c r="C620">
        <v>33.6</v>
      </c>
      <c r="D620">
        <v>34.6</v>
      </c>
      <c r="E620" s="27" t="s">
        <v>976</v>
      </c>
      <c r="F620" s="27"/>
    </row>
    <row r="621" spans="1:6" x14ac:dyDescent="0.3">
      <c r="A621" s="27" t="s">
        <v>975</v>
      </c>
      <c r="B621" s="27" t="s">
        <v>11</v>
      </c>
      <c r="C621">
        <v>9.07</v>
      </c>
      <c r="D621">
        <v>9.34</v>
      </c>
      <c r="E621" s="27" t="s">
        <v>976</v>
      </c>
      <c r="F621" s="27"/>
    </row>
    <row r="622" spans="1:6" x14ac:dyDescent="0.3">
      <c r="A622" s="27" t="s">
        <v>977</v>
      </c>
      <c r="B622" s="27" t="s">
        <v>10</v>
      </c>
      <c r="C622">
        <v>1915.05</v>
      </c>
      <c r="D622">
        <v>1972.15</v>
      </c>
      <c r="E622" s="27" t="s">
        <v>976</v>
      </c>
      <c r="F622" s="27"/>
    </row>
    <row r="623" spans="1:6" x14ac:dyDescent="0.3">
      <c r="A623" s="27" t="s">
        <v>979</v>
      </c>
      <c r="B623" s="27" t="s">
        <v>11</v>
      </c>
      <c r="C623">
        <v>28.65</v>
      </c>
      <c r="D623">
        <v>29.5</v>
      </c>
      <c r="E623" s="27" t="s">
        <v>980</v>
      </c>
      <c r="F623" s="27"/>
    </row>
    <row r="624" spans="1:6" x14ac:dyDescent="0.3">
      <c r="A624" s="27" t="s">
        <v>983</v>
      </c>
      <c r="B624" s="27" t="s">
        <v>10</v>
      </c>
      <c r="C624">
        <v>559.25</v>
      </c>
      <c r="D624">
        <v>575.79999999999995</v>
      </c>
      <c r="E624" s="27" t="s">
        <v>982</v>
      </c>
      <c r="F624" s="27"/>
    </row>
    <row r="625" spans="1:6" x14ac:dyDescent="0.3">
      <c r="A625" s="27" t="s">
        <v>1102</v>
      </c>
      <c r="B625" s="27" t="s">
        <v>10</v>
      </c>
      <c r="C625">
        <v>996.75</v>
      </c>
      <c r="D625">
        <v>1026.3</v>
      </c>
      <c r="E625" s="27" t="s">
        <v>982</v>
      </c>
      <c r="F625" s="27"/>
    </row>
    <row r="626" spans="1:6" x14ac:dyDescent="0.3">
      <c r="A626" s="27" t="s">
        <v>1040</v>
      </c>
      <c r="B626" s="27" t="s">
        <v>10</v>
      </c>
      <c r="C626">
        <v>268.89999999999998</v>
      </c>
      <c r="D626">
        <v>276.85000000000002</v>
      </c>
      <c r="E626" s="27" t="s">
        <v>982</v>
      </c>
      <c r="F626" s="27"/>
    </row>
    <row r="627" spans="1:6" x14ac:dyDescent="0.3">
      <c r="A627" s="27" t="s">
        <v>987</v>
      </c>
      <c r="B627" s="27" t="s">
        <v>35</v>
      </c>
      <c r="C627">
        <v>0.68</v>
      </c>
      <c r="D627">
        <v>0.7</v>
      </c>
      <c r="E627" s="27" t="s">
        <v>986</v>
      </c>
      <c r="F627" s="27"/>
    </row>
    <row r="628" spans="1:6" x14ac:dyDescent="0.3">
      <c r="A628" s="27" t="s">
        <v>1145</v>
      </c>
      <c r="B628" s="27" t="s">
        <v>11</v>
      </c>
      <c r="C628">
        <v>124.25</v>
      </c>
      <c r="D628">
        <v>127.9</v>
      </c>
      <c r="E628" s="27" t="s">
        <v>986</v>
      </c>
      <c r="F628" s="27"/>
    </row>
    <row r="629" spans="1:6" x14ac:dyDescent="0.3">
      <c r="A629" s="27" t="s">
        <v>985</v>
      </c>
      <c r="B629" s="27" t="s">
        <v>328</v>
      </c>
      <c r="C629">
        <v>4.76</v>
      </c>
      <c r="D629">
        <v>4.9000000000000004</v>
      </c>
      <c r="E629" s="27" t="s">
        <v>986</v>
      </c>
      <c r="F629" s="27"/>
    </row>
    <row r="630" spans="1:6" x14ac:dyDescent="0.3">
      <c r="A630" s="27" t="s">
        <v>988</v>
      </c>
      <c r="B630" s="27" t="s">
        <v>33</v>
      </c>
      <c r="C630">
        <v>8.8699999999999992</v>
      </c>
      <c r="D630">
        <v>9.1300000000000008</v>
      </c>
      <c r="E630" s="27" t="s">
        <v>989</v>
      </c>
      <c r="F630" s="27"/>
    </row>
    <row r="631" spans="1:6" x14ac:dyDescent="0.3">
      <c r="A631" s="27" t="s">
        <v>990</v>
      </c>
      <c r="B631" s="27" t="s">
        <v>33</v>
      </c>
      <c r="C631">
        <v>328.45</v>
      </c>
      <c r="D631">
        <v>338.05</v>
      </c>
      <c r="E631" s="27" t="s">
        <v>991</v>
      </c>
      <c r="F631" s="27"/>
    </row>
    <row r="632" spans="1:6" x14ac:dyDescent="0.3">
      <c r="A632" s="27" t="s">
        <v>992</v>
      </c>
      <c r="B632" s="27" t="s">
        <v>10</v>
      </c>
      <c r="C632">
        <v>232.2</v>
      </c>
      <c r="D632">
        <v>238.95</v>
      </c>
      <c r="E632" s="27" t="s">
        <v>993</v>
      </c>
      <c r="F632" s="27"/>
    </row>
    <row r="633" spans="1:6" x14ac:dyDescent="0.3">
      <c r="A633" s="27" t="s">
        <v>1366</v>
      </c>
      <c r="B633" s="27" t="s">
        <v>33</v>
      </c>
      <c r="C633">
        <v>60.1</v>
      </c>
      <c r="D633">
        <v>61.85</v>
      </c>
      <c r="E633" s="27" t="s">
        <v>993</v>
      </c>
      <c r="F633" s="27"/>
    </row>
    <row r="634" spans="1:6" x14ac:dyDescent="0.3">
      <c r="A634" s="27" t="s">
        <v>994</v>
      </c>
      <c r="B634" s="27" t="s">
        <v>11</v>
      </c>
      <c r="C634">
        <v>122.35</v>
      </c>
      <c r="D634">
        <v>125.9</v>
      </c>
      <c r="E634" s="27" t="s">
        <v>995</v>
      </c>
      <c r="F634" s="27"/>
    </row>
    <row r="635" spans="1:6" x14ac:dyDescent="0.3">
      <c r="A635" s="27" t="s">
        <v>996</v>
      </c>
      <c r="B635" s="27" t="s">
        <v>10</v>
      </c>
      <c r="C635">
        <v>466.5</v>
      </c>
      <c r="D635">
        <v>480.05</v>
      </c>
      <c r="E635" s="27" t="s">
        <v>995</v>
      </c>
      <c r="F635" s="27"/>
    </row>
    <row r="636" spans="1:6" x14ac:dyDescent="0.3">
      <c r="A636" s="27" t="s">
        <v>999</v>
      </c>
      <c r="B636" s="27" t="s">
        <v>10</v>
      </c>
      <c r="C636">
        <v>64</v>
      </c>
      <c r="D636">
        <v>65.849999999999994</v>
      </c>
      <c r="E636" s="27" t="s">
        <v>998</v>
      </c>
      <c r="F636" s="27"/>
    </row>
    <row r="637" spans="1:6" x14ac:dyDescent="0.3">
      <c r="A637" s="27" t="s">
        <v>997</v>
      </c>
      <c r="B637" s="27" t="s">
        <v>10</v>
      </c>
      <c r="C637">
        <v>1187.8</v>
      </c>
      <c r="D637">
        <v>1222.1500000000001</v>
      </c>
      <c r="E637" s="27" t="s">
        <v>998</v>
      </c>
      <c r="F637" s="27"/>
    </row>
    <row r="638" spans="1:6" x14ac:dyDescent="0.3">
      <c r="A638" s="27" t="s">
        <v>1002</v>
      </c>
      <c r="B638" s="27" t="s">
        <v>11</v>
      </c>
      <c r="C638">
        <v>1.04</v>
      </c>
      <c r="D638">
        <v>1.07</v>
      </c>
      <c r="E638" s="27" t="s">
        <v>1001</v>
      </c>
      <c r="F638" s="27"/>
    </row>
    <row r="639" spans="1:6" x14ac:dyDescent="0.3">
      <c r="A639" s="27" t="s">
        <v>1084</v>
      </c>
      <c r="B639" s="27" t="s">
        <v>10</v>
      </c>
      <c r="C639">
        <v>178.75</v>
      </c>
      <c r="D639">
        <v>183.9</v>
      </c>
      <c r="E639" s="27" t="s">
        <v>1001</v>
      </c>
      <c r="F639" s="27"/>
    </row>
    <row r="640" spans="1:6" x14ac:dyDescent="0.3">
      <c r="A640" s="27" t="s">
        <v>788</v>
      </c>
      <c r="B640" s="27" t="s">
        <v>33</v>
      </c>
      <c r="C640">
        <v>267.64999999999998</v>
      </c>
      <c r="D640">
        <v>275.35000000000002</v>
      </c>
      <c r="E640" s="27" t="s">
        <v>1001</v>
      </c>
      <c r="F640" s="27"/>
    </row>
    <row r="641" spans="1:6" x14ac:dyDescent="0.3">
      <c r="A641" s="27" t="s">
        <v>1003</v>
      </c>
      <c r="B641" s="27" t="s">
        <v>29</v>
      </c>
      <c r="C641">
        <v>1.04</v>
      </c>
      <c r="D641">
        <v>1.07</v>
      </c>
      <c r="E641" s="27" t="s">
        <v>1001</v>
      </c>
      <c r="F641" s="27"/>
    </row>
    <row r="642" spans="1:6" x14ac:dyDescent="0.3">
      <c r="A642" s="27" t="s">
        <v>1005</v>
      </c>
      <c r="B642" s="27" t="s">
        <v>33</v>
      </c>
      <c r="C642">
        <v>52.35</v>
      </c>
      <c r="D642">
        <v>53.85</v>
      </c>
      <c r="E642" s="27" t="s">
        <v>1006</v>
      </c>
      <c r="F642" s="27"/>
    </row>
    <row r="643" spans="1:6" x14ac:dyDescent="0.3">
      <c r="A643" s="27" t="s">
        <v>1007</v>
      </c>
      <c r="B643" s="27" t="s">
        <v>328</v>
      </c>
      <c r="C643">
        <v>11.14</v>
      </c>
      <c r="D643">
        <v>11.46</v>
      </c>
      <c r="E643" s="27" t="s">
        <v>1006</v>
      </c>
      <c r="F643" s="27"/>
    </row>
    <row r="644" spans="1:6" x14ac:dyDescent="0.3">
      <c r="A644" s="27" t="s">
        <v>1011</v>
      </c>
      <c r="B644" s="27" t="s">
        <v>33</v>
      </c>
      <c r="C644">
        <v>49</v>
      </c>
      <c r="D644">
        <v>50.4</v>
      </c>
      <c r="E644" s="27" t="s">
        <v>1009</v>
      </c>
      <c r="F644" s="27"/>
    </row>
    <row r="645" spans="1:6" x14ac:dyDescent="0.3">
      <c r="A645" s="27" t="s">
        <v>953</v>
      </c>
      <c r="B645" s="27" t="s">
        <v>10</v>
      </c>
      <c r="C645">
        <v>157.4</v>
      </c>
      <c r="D645">
        <v>161.9</v>
      </c>
      <c r="E645" s="27" t="s">
        <v>1009</v>
      </c>
      <c r="F645" s="27"/>
    </row>
    <row r="646" spans="1:6" x14ac:dyDescent="0.3">
      <c r="A646" s="27" t="s">
        <v>1008</v>
      </c>
      <c r="B646" s="27" t="s">
        <v>10</v>
      </c>
      <c r="C646">
        <v>78.8</v>
      </c>
      <c r="D646">
        <v>81.05</v>
      </c>
      <c r="E646" s="27" t="s">
        <v>1009</v>
      </c>
      <c r="F646" s="27"/>
    </row>
    <row r="647" spans="1:6" x14ac:dyDescent="0.3">
      <c r="A647" s="27" t="s">
        <v>1010</v>
      </c>
      <c r="B647" s="27" t="s">
        <v>33</v>
      </c>
      <c r="C647">
        <v>43.75</v>
      </c>
      <c r="D647">
        <v>45</v>
      </c>
      <c r="E647" s="27" t="s">
        <v>1009</v>
      </c>
      <c r="F647" s="27"/>
    </row>
    <row r="648" spans="1:6" x14ac:dyDescent="0.3">
      <c r="A648" s="27" t="s">
        <v>1219</v>
      </c>
      <c r="B648" s="27" t="s">
        <v>10</v>
      </c>
      <c r="C648">
        <v>117.35</v>
      </c>
      <c r="D648">
        <v>120.7</v>
      </c>
      <c r="E648" s="27" t="s">
        <v>1014</v>
      </c>
      <c r="F648" s="27"/>
    </row>
    <row r="649" spans="1:6" x14ac:dyDescent="0.3">
      <c r="A649" s="27" t="s">
        <v>1013</v>
      </c>
      <c r="B649" s="27" t="s">
        <v>10</v>
      </c>
      <c r="C649">
        <v>210.3</v>
      </c>
      <c r="D649">
        <v>216.3</v>
      </c>
      <c r="E649" s="27" t="s">
        <v>1014</v>
      </c>
      <c r="F649" s="27"/>
    </row>
    <row r="650" spans="1:6" x14ac:dyDescent="0.3">
      <c r="A650" s="27" t="s">
        <v>1017</v>
      </c>
      <c r="B650" s="27" t="s">
        <v>328</v>
      </c>
      <c r="C650">
        <v>4.57</v>
      </c>
      <c r="D650">
        <v>4.7</v>
      </c>
      <c r="E650" s="27" t="s">
        <v>1016</v>
      </c>
      <c r="F650" s="27"/>
    </row>
    <row r="651" spans="1:6" x14ac:dyDescent="0.3">
      <c r="A651" s="27" t="s">
        <v>1015</v>
      </c>
      <c r="B651" s="27" t="s">
        <v>11</v>
      </c>
      <c r="C651">
        <v>38.799999999999997</v>
      </c>
      <c r="D651">
        <v>39.9</v>
      </c>
      <c r="E651" s="27" t="s">
        <v>1016</v>
      </c>
      <c r="F651" s="27"/>
    </row>
    <row r="652" spans="1:6" x14ac:dyDescent="0.3">
      <c r="A652" s="27" t="s">
        <v>1021</v>
      </c>
      <c r="B652" s="27" t="s">
        <v>29</v>
      </c>
      <c r="C652">
        <v>22.85</v>
      </c>
      <c r="D652">
        <v>23.5</v>
      </c>
      <c r="E652" s="27" t="s">
        <v>1016</v>
      </c>
      <c r="F652" s="27"/>
    </row>
    <row r="653" spans="1:6" x14ac:dyDescent="0.3">
      <c r="A653" s="27" t="s">
        <v>1037</v>
      </c>
      <c r="B653" s="27" t="s">
        <v>10</v>
      </c>
      <c r="C653">
        <v>551.25</v>
      </c>
      <c r="D653">
        <v>566.9</v>
      </c>
      <c r="E653" s="27" t="s">
        <v>1016</v>
      </c>
      <c r="F653" s="27"/>
    </row>
    <row r="654" spans="1:6" x14ac:dyDescent="0.3">
      <c r="A654" s="27" t="s">
        <v>1020</v>
      </c>
      <c r="B654" s="27" t="s">
        <v>33</v>
      </c>
      <c r="C654">
        <v>84.6</v>
      </c>
      <c r="D654">
        <v>87</v>
      </c>
      <c r="E654" s="27" t="s">
        <v>1016</v>
      </c>
      <c r="F654" s="27"/>
    </row>
    <row r="655" spans="1:6" x14ac:dyDescent="0.3">
      <c r="A655" s="27" t="s">
        <v>1018</v>
      </c>
      <c r="B655" s="27" t="s">
        <v>10</v>
      </c>
      <c r="C655">
        <v>148.1</v>
      </c>
      <c r="D655">
        <v>152.30000000000001</v>
      </c>
      <c r="E655" s="27" t="s">
        <v>1016</v>
      </c>
      <c r="F655" s="27"/>
    </row>
    <row r="656" spans="1:6" x14ac:dyDescent="0.3">
      <c r="A656" s="27" t="s">
        <v>965</v>
      </c>
      <c r="B656" s="27" t="s">
        <v>10</v>
      </c>
      <c r="C656">
        <v>896.25</v>
      </c>
      <c r="D656">
        <v>921.65</v>
      </c>
      <c r="E656" s="27" t="s">
        <v>1023</v>
      </c>
      <c r="F656" s="27"/>
    </row>
    <row r="657" spans="1:6" x14ac:dyDescent="0.3">
      <c r="A657" s="27" t="s">
        <v>1085</v>
      </c>
      <c r="B657" s="27" t="s">
        <v>10</v>
      </c>
      <c r="C657">
        <v>155.69999999999999</v>
      </c>
      <c r="D657">
        <v>160.1</v>
      </c>
      <c r="E657" s="27" t="s">
        <v>1023</v>
      </c>
      <c r="F657" s="27"/>
    </row>
    <row r="658" spans="1:6" x14ac:dyDescent="0.3">
      <c r="A658" s="27" t="s">
        <v>1027</v>
      </c>
      <c r="B658" s="27" t="s">
        <v>10</v>
      </c>
      <c r="C658">
        <v>269.7</v>
      </c>
      <c r="D658">
        <v>277.3</v>
      </c>
      <c r="E658" s="27" t="s">
        <v>1025</v>
      </c>
      <c r="F658" s="27"/>
    </row>
    <row r="659" spans="1:6" x14ac:dyDescent="0.3">
      <c r="A659" s="27" t="s">
        <v>1028</v>
      </c>
      <c r="B659" s="27" t="s">
        <v>29</v>
      </c>
      <c r="C659">
        <v>3.9</v>
      </c>
      <c r="D659">
        <v>4.01</v>
      </c>
      <c r="E659" s="27" t="s">
        <v>1025</v>
      </c>
      <c r="F659" s="27"/>
    </row>
    <row r="660" spans="1:6" x14ac:dyDescent="0.3">
      <c r="A660" s="27" t="s">
        <v>1031</v>
      </c>
      <c r="B660" s="27" t="s">
        <v>29</v>
      </c>
      <c r="C660">
        <v>3.92</v>
      </c>
      <c r="D660">
        <v>4.03</v>
      </c>
      <c r="E660" s="27" t="s">
        <v>1030</v>
      </c>
      <c r="F660" s="27"/>
    </row>
    <row r="661" spans="1:6" x14ac:dyDescent="0.3">
      <c r="A661" s="27" t="s">
        <v>947</v>
      </c>
      <c r="B661" s="27" t="s">
        <v>11</v>
      </c>
      <c r="C661">
        <v>65.849999999999994</v>
      </c>
      <c r="D661">
        <v>67.7</v>
      </c>
      <c r="E661" s="27" t="s">
        <v>1030</v>
      </c>
      <c r="F661" s="27"/>
    </row>
    <row r="662" spans="1:6" x14ac:dyDescent="0.3">
      <c r="A662" s="27" t="s">
        <v>1029</v>
      </c>
      <c r="B662" s="27" t="s">
        <v>33</v>
      </c>
      <c r="C662">
        <v>115.65</v>
      </c>
      <c r="D662">
        <v>118.9</v>
      </c>
      <c r="E662" s="27" t="s">
        <v>1030</v>
      </c>
      <c r="F662" s="27"/>
    </row>
    <row r="663" spans="1:6" x14ac:dyDescent="0.3">
      <c r="A663" s="27" t="s">
        <v>1034</v>
      </c>
      <c r="B663" s="27" t="s">
        <v>11</v>
      </c>
      <c r="C663">
        <v>424.3</v>
      </c>
      <c r="D663">
        <v>436.2</v>
      </c>
      <c r="E663" s="27" t="s">
        <v>1033</v>
      </c>
      <c r="F663" s="27"/>
    </row>
    <row r="664" spans="1:6" x14ac:dyDescent="0.3">
      <c r="A664" s="27" t="s">
        <v>1035</v>
      </c>
      <c r="B664" s="27" t="s">
        <v>33</v>
      </c>
      <c r="C664">
        <v>28.7</v>
      </c>
      <c r="D664">
        <v>29.5</v>
      </c>
      <c r="E664" s="27" t="s">
        <v>1036</v>
      </c>
      <c r="F664" s="27"/>
    </row>
    <row r="665" spans="1:6" x14ac:dyDescent="0.3">
      <c r="A665" s="27" t="s">
        <v>1039</v>
      </c>
      <c r="B665" s="27" t="s">
        <v>11</v>
      </c>
      <c r="C665">
        <v>8.99</v>
      </c>
      <c r="D665">
        <v>9.24</v>
      </c>
      <c r="E665" s="27" t="s">
        <v>1038</v>
      </c>
      <c r="F665" s="27"/>
    </row>
    <row r="666" spans="1:6" x14ac:dyDescent="0.3">
      <c r="A666" s="27" t="s">
        <v>1058</v>
      </c>
      <c r="B666" s="27" t="s">
        <v>10</v>
      </c>
      <c r="C666">
        <v>257.14999999999998</v>
      </c>
      <c r="D666">
        <v>264.3</v>
      </c>
      <c r="E666" s="27" t="s">
        <v>1038</v>
      </c>
      <c r="F666" s="27"/>
    </row>
    <row r="667" spans="1:6" x14ac:dyDescent="0.3">
      <c r="A667" s="27" t="s">
        <v>1114</v>
      </c>
      <c r="B667" s="27" t="s">
        <v>10</v>
      </c>
      <c r="C667">
        <v>464.4</v>
      </c>
      <c r="D667">
        <v>477.25</v>
      </c>
      <c r="E667" s="27" t="s">
        <v>1041</v>
      </c>
      <c r="F667" s="27"/>
    </row>
    <row r="668" spans="1:6" x14ac:dyDescent="0.3">
      <c r="A668" s="27" t="s">
        <v>1026</v>
      </c>
      <c r="B668" s="27" t="s">
        <v>10</v>
      </c>
      <c r="C668">
        <v>517.9</v>
      </c>
      <c r="D668">
        <v>532.25</v>
      </c>
      <c r="E668" s="27" t="s">
        <v>1041</v>
      </c>
      <c r="F668" s="27"/>
    </row>
    <row r="669" spans="1:6" x14ac:dyDescent="0.3">
      <c r="A669" s="27" t="s">
        <v>1129</v>
      </c>
      <c r="B669" s="27" t="s">
        <v>11</v>
      </c>
      <c r="C669">
        <v>130.1</v>
      </c>
      <c r="D669">
        <v>133.69999999999999</v>
      </c>
      <c r="E669" s="27" t="s">
        <v>1041</v>
      </c>
      <c r="F669" s="27"/>
    </row>
    <row r="670" spans="1:6" x14ac:dyDescent="0.3">
      <c r="A670" s="27" t="s">
        <v>1042</v>
      </c>
      <c r="B670" s="27" t="s">
        <v>10</v>
      </c>
      <c r="C670">
        <v>282.89999999999998</v>
      </c>
      <c r="D670">
        <v>290.75</v>
      </c>
      <c r="E670" s="27" t="s">
        <v>1041</v>
      </c>
      <c r="F670" s="27"/>
    </row>
    <row r="671" spans="1:6" x14ac:dyDescent="0.3">
      <c r="A671" s="27" t="s">
        <v>1065</v>
      </c>
      <c r="B671" s="27" t="s">
        <v>10</v>
      </c>
      <c r="C671">
        <v>495.35</v>
      </c>
      <c r="D671">
        <v>509</v>
      </c>
      <c r="E671" s="27" t="s">
        <v>1044</v>
      </c>
      <c r="F671" s="27"/>
    </row>
    <row r="672" spans="1:6" x14ac:dyDescent="0.3">
      <c r="A672" s="27" t="s">
        <v>1045</v>
      </c>
      <c r="B672" s="27" t="s">
        <v>10</v>
      </c>
      <c r="C672">
        <v>139.25</v>
      </c>
      <c r="D672">
        <v>143.1</v>
      </c>
      <c r="E672" s="27" t="s">
        <v>1044</v>
      </c>
      <c r="F672" s="27"/>
    </row>
    <row r="673" spans="1:6" x14ac:dyDescent="0.3">
      <c r="A673" s="27" t="s">
        <v>1048</v>
      </c>
      <c r="B673" s="27" t="s">
        <v>33</v>
      </c>
      <c r="C673">
        <v>20</v>
      </c>
      <c r="D673">
        <v>20.55</v>
      </c>
      <c r="E673" s="27" t="s">
        <v>1047</v>
      </c>
      <c r="F673" s="27"/>
    </row>
    <row r="674" spans="1:6" x14ac:dyDescent="0.3">
      <c r="A674" s="27" t="s">
        <v>1054</v>
      </c>
      <c r="B674" s="27" t="s">
        <v>33</v>
      </c>
      <c r="C674">
        <v>58.4</v>
      </c>
      <c r="D674">
        <v>60</v>
      </c>
      <c r="E674" s="27" t="s">
        <v>1050</v>
      </c>
      <c r="F674" s="27"/>
    </row>
    <row r="675" spans="1:6" x14ac:dyDescent="0.3">
      <c r="A675" s="27" t="s">
        <v>1052</v>
      </c>
      <c r="B675" s="27" t="s">
        <v>11</v>
      </c>
      <c r="C675">
        <v>10.95</v>
      </c>
      <c r="D675">
        <v>11.25</v>
      </c>
      <c r="E675" s="27" t="s">
        <v>1050</v>
      </c>
      <c r="F675" s="27"/>
    </row>
    <row r="676" spans="1:6" x14ac:dyDescent="0.3">
      <c r="A676" s="27" t="s">
        <v>1051</v>
      </c>
      <c r="B676" s="27" t="s">
        <v>33</v>
      </c>
      <c r="C676">
        <v>16.399999999999999</v>
      </c>
      <c r="D676">
        <v>16.850000000000001</v>
      </c>
      <c r="E676" s="27" t="s">
        <v>1050</v>
      </c>
      <c r="F676" s="27"/>
    </row>
    <row r="677" spans="1:6" x14ac:dyDescent="0.3">
      <c r="A677" s="27" t="s">
        <v>1057</v>
      </c>
      <c r="B677" s="27" t="s">
        <v>11</v>
      </c>
      <c r="C677">
        <v>14.31</v>
      </c>
      <c r="D677">
        <v>14.7</v>
      </c>
      <c r="E677" s="27" t="s">
        <v>1056</v>
      </c>
      <c r="F677" s="27"/>
    </row>
    <row r="678" spans="1:6" x14ac:dyDescent="0.3">
      <c r="A678" s="27" t="s">
        <v>1049</v>
      </c>
      <c r="B678" s="27" t="s">
        <v>10</v>
      </c>
      <c r="C678">
        <v>627.25</v>
      </c>
      <c r="D678">
        <v>644.4</v>
      </c>
      <c r="E678" s="27" t="s">
        <v>1056</v>
      </c>
      <c r="F678" s="27"/>
    </row>
    <row r="679" spans="1:6" x14ac:dyDescent="0.3">
      <c r="A679" s="27" t="s">
        <v>1055</v>
      </c>
      <c r="B679" s="27" t="s">
        <v>33</v>
      </c>
      <c r="C679">
        <v>126.55</v>
      </c>
      <c r="D679">
        <v>130</v>
      </c>
      <c r="E679" s="27" t="s">
        <v>1056</v>
      </c>
      <c r="F679" s="27"/>
    </row>
    <row r="680" spans="1:6" x14ac:dyDescent="0.3">
      <c r="A680" s="27" t="s">
        <v>1060</v>
      </c>
      <c r="B680" s="27" t="s">
        <v>33</v>
      </c>
      <c r="C680">
        <v>5.14</v>
      </c>
      <c r="D680">
        <v>5.28</v>
      </c>
      <c r="E680" s="27" t="s">
        <v>1059</v>
      </c>
      <c r="F680" s="27"/>
    </row>
    <row r="681" spans="1:6" x14ac:dyDescent="0.3">
      <c r="A681" s="27" t="s">
        <v>1086</v>
      </c>
      <c r="B681" s="27" t="s">
        <v>10</v>
      </c>
      <c r="C681">
        <v>110.6</v>
      </c>
      <c r="D681">
        <v>113.6</v>
      </c>
      <c r="E681" s="27" t="s">
        <v>1062</v>
      </c>
      <c r="F681" s="27"/>
    </row>
    <row r="682" spans="1:6" x14ac:dyDescent="0.3">
      <c r="A682" s="27" t="s">
        <v>1066</v>
      </c>
      <c r="B682" s="27" t="s">
        <v>11</v>
      </c>
      <c r="C682">
        <v>238.05</v>
      </c>
      <c r="D682">
        <v>244.5</v>
      </c>
      <c r="E682" s="27" t="s">
        <v>1062</v>
      </c>
      <c r="F682" s="27"/>
    </row>
    <row r="683" spans="1:6" x14ac:dyDescent="0.3">
      <c r="A683" s="27" t="s">
        <v>1064</v>
      </c>
      <c r="B683" s="27" t="s">
        <v>11</v>
      </c>
      <c r="C683">
        <v>35.049999999999997</v>
      </c>
      <c r="D683">
        <v>36</v>
      </c>
      <c r="E683" s="27" t="s">
        <v>1062</v>
      </c>
      <c r="F683" s="27"/>
    </row>
    <row r="684" spans="1:6" x14ac:dyDescent="0.3">
      <c r="A684" s="27" t="s">
        <v>1061</v>
      </c>
      <c r="B684" s="27" t="s">
        <v>11</v>
      </c>
      <c r="C684">
        <v>9.6</v>
      </c>
      <c r="D684">
        <v>9.86</v>
      </c>
      <c r="E684" s="27" t="s">
        <v>1062</v>
      </c>
      <c r="F684" s="27"/>
    </row>
    <row r="685" spans="1:6" x14ac:dyDescent="0.3">
      <c r="A685" s="27" t="s">
        <v>1067</v>
      </c>
      <c r="B685" s="27" t="s">
        <v>11</v>
      </c>
      <c r="C685">
        <v>20.399999999999999</v>
      </c>
      <c r="D685">
        <v>20.95</v>
      </c>
      <c r="E685" s="27" t="s">
        <v>1068</v>
      </c>
      <c r="F685" s="27"/>
    </row>
    <row r="686" spans="1:6" x14ac:dyDescent="0.3">
      <c r="A686" s="27" t="s">
        <v>1069</v>
      </c>
      <c r="B686" s="27" t="s">
        <v>11</v>
      </c>
      <c r="C686">
        <v>55.5</v>
      </c>
      <c r="D686">
        <v>57</v>
      </c>
      <c r="E686" s="27" t="s">
        <v>1068</v>
      </c>
      <c r="F686" s="27"/>
    </row>
    <row r="687" spans="1:6" x14ac:dyDescent="0.3">
      <c r="A687" s="27" t="s">
        <v>1070</v>
      </c>
      <c r="B687" s="27" t="s">
        <v>328</v>
      </c>
      <c r="C687">
        <v>7.79</v>
      </c>
      <c r="D687">
        <v>8</v>
      </c>
      <c r="E687" s="27" t="s">
        <v>1068</v>
      </c>
      <c r="F687" s="27"/>
    </row>
    <row r="688" spans="1:6" x14ac:dyDescent="0.3">
      <c r="A688" s="27" t="s">
        <v>1071</v>
      </c>
      <c r="B688" s="27" t="s">
        <v>11</v>
      </c>
      <c r="C688">
        <v>119.2</v>
      </c>
      <c r="D688">
        <v>122.4</v>
      </c>
      <c r="E688" s="27" t="s">
        <v>1072</v>
      </c>
      <c r="F688" s="27"/>
    </row>
    <row r="689" spans="1:6" x14ac:dyDescent="0.3">
      <c r="A689" s="27" t="s">
        <v>1204</v>
      </c>
      <c r="B689" s="27" t="s">
        <v>11</v>
      </c>
      <c r="C689">
        <v>46.7</v>
      </c>
      <c r="D689">
        <v>47.95</v>
      </c>
      <c r="E689" s="27" t="s">
        <v>1072</v>
      </c>
      <c r="F689" s="27"/>
    </row>
    <row r="690" spans="1:6" x14ac:dyDescent="0.3">
      <c r="A690" s="27" t="s">
        <v>955</v>
      </c>
      <c r="B690" s="27" t="s">
        <v>10</v>
      </c>
      <c r="C690">
        <v>1939</v>
      </c>
      <c r="D690">
        <v>1990.85</v>
      </c>
      <c r="E690" s="27" t="s">
        <v>1075</v>
      </c>
      <c r="F690" s="27"/>
    </row>
    <row r="691" spans="1:6" x14ac:dyDescent="0.3">
      <c r="A691" s="27" t="s">
        <v>1076</v>
      </c>
      <c r="B691" s="27" t="s">
        <v>11</v>
      </c>
      <c r="C691">
        <v>41.15</v>
      </c>
      <c r="D691">
        <v>42.25</v>
      </c>
      <c r="E691" s="27" t="s">
        <v>1075</v>
      </c>
      <c r="F691" s="27"/>
    </row>
    <row r="692" spans="1:6" x14ac:dyDescent="0.3">
      <c r="A692" s="27" t="s">
        <v>1074</v>
      </c>
      <c r="B692" s="27" t="s">
        <v>33</v>
      </c>
      <c r="C692">
        <v>211.45</v>
      </c>
      <c r="D692">
        <v>217.1</v>
      </c>
      <c r="E692" s="27" t="s">
        <v>1075</v>
      </c>
      <c r="F692" s="27"/>
    </row>
    <row r="693" spans="1:6" x14ac:dyDescent="0.3">
      <c r="A693" s="27" t="s">
        <v>1080</v>
      </c>
      <c r="B693" s="27" t="s">
        <v>11</v>
      </c>
      <c r="C693">
        <v>847.1</v>
      </c>
      <c r="D693">
        <v>869.55</v>
      </c>
      <c r="E693" s="27" t="s">
        <v>1078</v>
      </c>
      <c r="F693" s="27"/>
    </row>
    <row r="694" spans="1:6" x14ac:dyDescent="0.3">
      <c r="A694" s="27" t="s">
        <v>1079</v>
      </c>
      <c r="B694" s="27" t="s">
        <v>33</v>
      </c>
      <c r="C694">
        <v>34</v>
      </c>
      <c r="D694">
        <v>34.9</v>
      </c>
      <c r="E694" s="27" t="s">
        <v>1078</v>
      </c>
      <c r="F694" s="27"/>
    </row>
    <row r="695" spans="1:6" x14ac:dyDescent="0.3">
      <c r="A695" s="27" t="s">
        <v>1077</v>
      </c>
      <c r="B695" s="27" t="s">
        <v>11</v>
      </c>
      <c r="C695">
        <v>56.5</v>
      </c>
      <c r="D695">
        <v>58</v>
      </c>
      <c r="E695" s="27" t="s">
        <v>1078</v>
      </c>
      <c r="F695" s="27"/>
    </row>
    <row r="696" spans="1:6" x14ac:dyDescent="0.3">
      <c r="A696" s="27" t="s">
        <v>1101</v>
      </c>
      <c r="B696" s="27" t="s">
        <v>10</v>
      </c>
      <c r="C696">
        <v>504.65</v>
      </c>
      <c r="D696">
        <v>517.9</v>
      </c>
      <c r="E696" s="27" t="s">
        <v>1083</v>
      </c>
      <c r="F696" s="27"/>
    </row>
    <row r="697" spans="1:6" x14ac:dyDescent="0.3">
      <c r="A697" s="27" t="s">
        <v>1130</v>
      </c>
      <c r="B697" s="27" t="s">
        <v>10</v>
      </c>
      <c r="C697">
        <v>178.6</v>
      </c>
      <c r="D697">
        <v>183.3</v>
      </c>
      <c r="E697" s="27" t="s">
        <v>1083</v>
      </c>
      <c r="F697" s="27"/>
    </row>
    <row r="698" spans="1:6" x14ac:dyDescent="0.3">
      <c r="A698" s="27" t="s">
        <v>1088</v>
      </c>
      <c r="B698" s="27" t="s">
        <v>11</v>
      </c>
      <c r="C698">
        <v>55.3</v>
      </c>
      <c r="D698">
        <v>56.75</v>
      </c>
      <c r="E698" s="27" t="s">
        <v>1087</v>
      </c>
      <c r="F698" s="27"/>
    </row>
    <row r="699" spans="1:6" x14ac:dyDescent="0.3">
      <c r="A699" s="27" t="s">
        <v>1092</v>
      </c>
      <c r="B699" s="27" t="s">
        <v>10</v>
      </c>
      <c r="C699">
        <v>491.3</v>
      </c>
      <c r="D699">
        <v>504.15</v>
      </c>
      <c r="E699" s="27" t="s">
        <v>1087</v>
      </c>
      <c r="F699" s="27"/>
    </row>
    <row r="700" spans="1:6" x14ac:dyDescent="0.3">
      <c r="A700" s="27" t="s">
        <v>3361</v>
      </c>
      <c r="B700" s="27" t="s">
        <v>33</v>
      </c>
      <c r="C700">
        <v>175.35</v>
      </c>
      <c r="D700">
        <v>179.95</v>
      </c>
      <c r="E700" s="27" t="s">
        <v>1087</v>
      </c>
      <c r="F700" s="27"/>
    </row>
    <row r="701" spans="1:6" x14ac:dyDescent="0.3">
      <c r="A701" s="27" t="s">
        <v>3362</v>
      </c>
      <c r="B701" s="27" t="s">
        <v>328</v>
      </c>
      <c r="C701">
        <v>19.149999999999999</v>
      </c>
      <c r="D701">
        <v>19.649999999999999</v>
      </c>
      <c r="E701" s="27" t="s">
        <v>1095</v>
      </c>
      <c r="F701" s="27"/>
    </row>
    <row r="702" spans="1:6" x14ac:dyDescent="0.3">
      <c r="A702" s="27" t="s">
        <v>1094</v>
      </c>
      <c r="B702" s="27" t="s">
        <v>29</v>
      </c>
      <c r="C702">
        <v>2.2999999999999998</v>
      </c>
      <c r="D702">
        <v>2.36</v>
      </c>
      <c r="E702" s="27" t="s">
        <v>1095</v>
      </c>
      <c r="F702" s="27"/>
    </row>
    <row r="703" spans="1:6" x14ac:dyDescent="0.3">
      <c r="A703" s="27" t="s">
        <v>974</v>
      </c>
      <c r="B703" s="27" t="s">
        <v>11</v>
      </c>
      <c r="C703">
        <v>63.45</v>
      </c>
      <c r="D703">
        <v>65.099999999999994</v>
      </c>
      <c r="E703" s="27" t="s">
        <v>1099</v>
      </c>
      <c r="F703" s="27"/>
    </row>
    <row r="704" spans="1:6" x14ac:dyDescent="0.3">
      <c r="A704" s="27" t="s">
        <v>1098</v>
      </c>
      <c r="B704" s="27" t="s">
        <v>11</v>
      </c>
      <c r="C704">
        <v>259.8</v>
      </c>
      <c r="D704">
        <v>266.55</v>
      </c>
      <c r="E704" s="27" t="s">
        <v>1099</v>
      </c>
      <c r="F704" s="27"/>
    </row>
    <row r="705" spans="1:6" x14ac:dyDescent="0.3">
      <c r="A705" s="27" t="s">
        <v>1100</v>
      </c>
      <c r="B705" s="27" t="s">
        <v>33</v>
      </c>
      <c r="C705">
        <v>77</v>
      </c>
      <c r="D705">
        <v>79</v>
      </c>
      <c r="E705" s="27" t="s">
        <v>1099</v>
      </c>
      <c r="F705" s="27"/>
    </row>
    <row r="706" spans="1:6" x14ac:dyDescent="0.3">
      <c r="A706" s="27" t="s">
        <v>1295</v>
      </c>
      <c r="B706" s="27" t="s">
        <v>33</v>
      </c>
      <c r="C706">
        <v>89.2</v>
      </c>
      <c r="D706">
        <v>91.5</v>
      </c>
      <c r="E706" s="27" t="s">
        <v>1103</v>
      </c>
      <c r="F706" s="27"/>
    </row>
    <row r="707" spans="1:6" x14ac:dyDescent="0.3">
      <c r="A707" s="27" t="s">
        <v>1111</v>
      </c>
      <c r="B707" s="27" t="s">
        <v>11</v>
      </c>
      <c r="C707">
        <v>7.02</v>
      </c>
      <c r="D707">
        <v>7.2</v>
      </c>
      <c r="E707" s="27" t="s">
        <v>1108</v>
      </c>
      <c r="F707" s="27"/>
    </row>
    <row r="708" spans="1:6" x14ac:dyDescent="0.3">
      <c r="A708" s="27" t="s">
        <v>1109</v>
      </c>
      <c r="B708" s="27" t="s">
        <v>33</v>
      </c>
      <c r="C708">
        <v>23.4</v>
      </c>
      <c r="D708">
        <v>24</v>
      </c>
      <c r="E708" s="27" t="s">
        <v>1108</v>
      </c>
      <c r="F708" s="27"/>
    </row>
    <row r="709" spans="1:6" x14ac:dyDescent="0.3">
      <c r="A709" s="27" t="s">
        <v>1179</v>
      </c>
      <c r="B709" s="27" t="s">
        <v>10</v>
      </c>
      <c r="C709">
        <v>5247.6</v>
      </c>
      <c r="D709">
        <v>5381.9</v>
      </c>
      <c r="E709" s="27" t="s">
        <v>1108</v>
      </c>
      <c r="F709" s="27"/>
    </row>
    <row r="710" spans="1:6" x14ac:dyDescent="0.3">
      <c r="A710" s="27" t="s">
        <v>1110</v>
      </c>
      <c r="B710" s="27" t="s">
        <v>11</v>
      </c>
      <c r="C710">
        <v>478.4</v>
      </c>
      <c r="D710">
        <v>490.65</v>
      </c>
      <c r="E710" s="27" t="s">
        <v>1108</v>
      </c>
      <c r="F710" s="27"/>
    </row>
    <row r="711" spans="1:6" x14ac:dyDescent="0.3">
      <c r="A711" s="27" t="s">
        <v>2060</v>
      </c>
      <c r="B711" s="27" t="s">
        <v>11</v>
      </c>
      <c r="C711">
        <v>23.55</v>
      </c>
      <c r="D711">
        <v>24.15</v>
      </c>
      <c r="E711" s="27" t="s">
        <v>1113</v>
      </c>
      <c r="F711" s="27"/>
    </row>
    <row r="712" spans="1:6" x14ac:dyDescent="0.3">
      <c r="A712" s="27" t="s">
        <v>1139</v>
      </c>
      <c r="B712" s="27" t="s">
        <v>10</v>
      </c>
      <c r="C712">
        <v>763.75</v>
      </c>
      <c r="D712">
        <v>783.2</v>
      </c>
      <c r="E712" s="27" t="s">
        <v>1113</v>
      </c>
      <c r="F712" s="27"/>
    </row>
    <row r="713" spans="1:6" x14ac:dyDescent="0.3">
      <c r="A713" s="27" t="s">
        <v>1112</v>
      </c>
      <c r="B713" s="27" t="s">
        <v>11</v>
      </c>
      <c r="C713">
        <v>41.25</v>
      </c>
      <c r="D713">
        <v>42.3</v>
      </c>
      <c r="E713" s="27" t="s">
        <v>1113</v>
      </c>
      <c r="F713" s="27"/>
    </row>
    <row r="714" spans="1:6" x14ac:dyDescent="0.3">
      <c r="A714" s="27" t="s">
        <v>1180</v>
      </c>
      <c r="B714" s="27" t="s">
        <v>11</v>
      </c>
      <c r="C714">
        <v>43.1</v>
      </c>
      <c r="D714">
        <v>44.2</v>
      </c>
      <c r="E714" s="27" t="s">
        <v>1113</v>
      </c>
      <c r="F714" s="27"/>
    </row>
    <row r="715" spans="1:6" x14ac:dyDescent="0.3">
      <c r="A715" s="27" t="s">
        <v>1188</v>
      </c>
      <c r="B715" s="27" t="s">
        <v>29</v>
      </c>
      <c r="C715">
        <v>200.4</v>
      </c>
      <c r="D715">
        <v>205.5</v>
      </c>
      <c r="E715" s="27" t="s">
        <v>1115</v>
      </c>
      <c r="F715" s="27"/>
    </row>
    <row r="716" spans="1:6" x14ac:dyDescent="0.3">
      <c r="A716" s="27" t="s">
        <v>1024</v>
      </c>
      <c r="B716" s="27" t="s">
        <v>11</v>
      </c>
      <c r="C716">
        <v>35.450000000000003</v>
      </c>
      <c r="D716">
        <v>36.35</v>
      </c>
      <c r="E716" s="27" t="s">
        <v>1115</v>
      </c>
      <c r="F716" s="27"/>
    </row>
    <row r="717" spans="1:6" x14ac:dyDescent="0.3">
      <c r="A717" s="27" t="s">
        <v>1116</v>
      </c>
      <c r="B717" s="27" t="s">
        <v>10</v>
      </c>
      <c r="C717">
        <v>5197.5</v>
      </c>
      <c r="D717">
        <v>5329.7</v>
      </c>
      <c r="E717" s="27" t="s">
        <v>1115</v>
      </c>
      <c r="F717" s="27"/>
    </row>
    <row r="718" spans="1:6" x14ac:dyDescent="0.3">
      <c r="A718" s="27" t="s">
        <v>1118</v>
      </c>
      <c r="B718" s="27" t="s">
        <v>1119</v>
      </c>
      <c r="C718">
        <v>4.34</v>
      </c>
      <c r="D718">
        <v>4.45</v>
      </c>
      <c r="E718" s="27" t="s">
        <v>1120</v>
      </c>
      <c r="F718" s="27"/>
    </row>
    <row r="719" spans="1:6" x14ac:dyDescent="0.3">
      <c r="A719" s="27" t="s">
        <v>1053</v>
      </c>
      <c r="B719" s="27" t="s">
        <v>10</v>
      </c>
      <c r="C719">
        <v>1209.45</v>
      </c>
      <c r="D719">
        <v>1239.95</v>
      </c>
      <c r="E719" s="27" t="s">
        <v>1122</v>
      </c>
      <c r="F719" s="27"/>
    </row>
    <row r="720" spans="1:6" x14ac:dyDescent="0.3">
      <c r="A720" s="27" t="s">
        <v>1125</v>
      </c>
      <c r="B720" s="27" t="s">
        <v>11</v>
      </c>
      <c r="C720">
        <v>93.6</v>
      </c>
      <c r="D720">
        <v>95.95</v>
      </c>
      <c r="E720" s="27" t="s">
        <v>1124</v>
      </c>
      <c r="F720" s="27"/>
    </row>
    <row r="721" spans="1:6" x14ac:dyDescent="0.3">
      <c r="A721" s="27" t="s">
        <v>1117</v>
      </c>
      <c r="B721" s="27" t="s">
        <v>10</v>
      </c>
      <c r="C721">
        <v>3721.8</v>
      </c>
      <c r="D721">
        <v>3815.05</v>
      </c>
      <c r="E721" s="27" t="s">
        <v>1124</v>
      </c>
      <c r="F721" s="27"/>
    </row>
    <row r="722" spans="1:6" x14ac:dyDescent="0.3">
      <c r="A722" s="27" t="s">
        <v>1156</v>
      </c>
      <c r="B722" s="27" t="s">
        <v>10</v>
      </c>
      <c r="C722">
        <v>217.45</v>
      </c>
      <c r="D722">
        <v>222.9</v>
      </c>
      <c r="E722" s="27" t="s">
        <v>1124</v>
      </c>
      <c r="F722" s="27"/>
    </row>
    <row r="723" spans="1:6" x14ac:dyDescent="0.3">
      <c r="A723" s="27" t="s">
        <v>1123</v>
      </c>
      <c r="B723" s="27" t="s">
        <v>10</v>
      </c>
      <c r="C723">
        <v>27.9</v>
      </c>
      <c r="D723">
        <v>28.6</v>
      </c>
      <c r="E723" s="27" t="s">
        <v>1124</v>
      </c>
      <c r="F723" s="27"/>
    </row>
    <row r="724" spans="1:6" x14ac:dyDescent="0.3">
      <c r="A724" s="27" t="s">
        <v>2172</v>
      </c>
      <c r="B724" s="27" t="s">
        <v>33</v>
      </c>
      <c r="C724">
        <v>101.65</v>
      </c>
      <c r="D724">
        <v>104.2</v>
      </c>
      <c r="E724" s="27" t="s">
        <v>1124</v>
      </c>
      <c r="F724" s="27"/>
    </row>
    <row r="725" spans="1:6" x14ac:dyDescent="0.3">
      <c r="A725" s="27" t="s">
        <v>1063</v>
      </c>
      <c r="B725" s="27" t="s">
        <v>10</v>
      </c>
      <c r="C725">
        <v>221.7</v>
      </c>
      <c r="D725">
        <v>227.25</v>
      </c>
      <c r="E725" s="27" t="s">
        <v>1127</v>
      </c>
      <c r="F725" s="27"/>
    </row>
    <row r="726" spans="1:6" x14ac:dyDescent="0.3">
      <c r="A726" s="27" t="s">
        <v>1126</v>
      </c>
      <c r="B726" s="27" t="s">
        <v>33</v>
      </c>
      <c r="C726">
        <v>157.69999999999999</v>
      </c>
      <c r="D726">
        <v>161.65</v>
      </c>
      <c r="E726" s="27" t="s">
        <v>1127</v>
      </c>
      <c r="F726" s="27"/>
    </row>
    <row r="727" spans="1:6" x14ac:dyDescent="0.3">
      <c r="A727" s="27" t="s">
        <v>1196</v>
      </c>
      <c r="B727" s="27" t="s">
        <v>11</v>
      </c>
      <c r="C727">
        <v>354.85</v>
      </c>
      <c r="D727">
        <v>363.6</v>
      </c>
      <c r="E727" s="27" t="s">
        <v>1133</v>
      </c>
      <c r="F727" s="27"/>
    </row>
    <row r="728" spans="1:6" x14ac:dyDescent="0.3">
      <c r="A728" s="27" t="s">
        <v>1106</v>
      </c>
      <c r="B728" s="27" t="s">
        <v>11</v>
      </c>
      <c r="C728">
        <v>48.65</v>
      </c>
      <c r="D728">
        <v>49.85</v>
      </c>
      <c r="E728" s="27" t="s">
        <v>1133</v>
      </c>
      <c r="F728" s="27"/>
    </row>
    <row r="729" spans="1:6" x14ac:dyDescent="0.3">
      <c r="A729" s="27" t="s">
        <v>1257</v>
      </c>
      <c r="B729" s="27" t="s">
        <v>10</v>
      </c>
      <c r="C729">
        <v>1851.85</v>
      </c>
      <c r="D729">
        <v>1897.6</v>
      </c>
      <c r="E729" s="27" t="s">
        <v>1133</v>
      </c>
      <c r="F729" s="27"/>
    </row>
    <row r="730" spans="1:6" x14ac:dyDescent="0.3">
      <c r="A730" s="27" t="s">
        <v>1132</v>
      </c>
      <c r="B730" s="27" t="s">
        <v>10</v>
      </c>
      <c r="C730">
        <v>250.8</v>
      </c>
      <c r="D730">
        <v>257</v>
      </c>
      <c r="E730" s="27" t="s">
        <v>1133</v>
      </c>
      <c r="F730" s="27"/>
    </row>
    <row r="731" spans="1:6" x14ac:dyDescent="0.3">
      <c r="A731" s="27" t="s">
        <v>956</v>
      </c>
      <c r="B731" s="27" t="s">
        <v>33</v>
      </c>
      <c r="C731">
        <v>164.95</v>
      </c>
      <c r="D731">
        <v>169</v>
      </c>
      <c r="E731" s="27" t="s">
        <v>1135</v>
      </c>
      <c r="F731" s="27"/>
    </row>
    <row r="732" spans="1:6" x14ac:dyDescent="0.3">
      <c r="A732" s="27" t="s">
        <v>1134</v>
      </c>
      <c r="B732" s="27" t="s">
        <v>11</v>
      </c>
      <c r="C732">
        <v>882.3</v>
      </c>
      <c r="D732">
        <v>904</v>
      </c>
      <c r="E732" s="27" t="s">
        <v>1135</v>
      </c>
      <c r="F732" s="27"/>
    </row>
    <row r="733" spans="1:6" x14ac:dyDescent="0.3">
      <c r="A733" s="27" t="s">
        <v>669</v>
      </c>
      <c r="B733" s="27" t="s">
        <v>33</v>
      </c>
      <c r="C733">
        <v>24.4</v>
      </c>
      <c r="D733">
        <v>25</v>
      </c>
      <c r="E733" s="27" t="s">
        <v>1135</v>
      </c>
      <c r="F733" s="27"/>
    </row>
    <row r="734" spans="1:6" x14ac:dyDescent="0.3">
      <c r="A734" s="27" t="s">
        <v>1136</v>
      </c>
      <c r="B734" s="27" t="s">
        <v>35</v>
      </c>
      <c r="C734">
        <v>22.45</v>
      </c>
      <c r="D734">
        <v>23</v>
      </c>
      <c r="E734" s="27" t="s">
        <v>1137</v>
      </c>
      <c r="F734" s="27"/>
    </row>
    <row r="735" spans="1:6" x14ac:dyDescent="0.3">
      <c r="A735" s="27" t="s">
        <v>1138</v>
      </c>
      <c r="B735" s="27" t="s">
        <v>328</v>
      </c>
      <c r="C735">
        <v>2.4500000000000002</v>
      </c>
      <c r="D735">
        <v>2.5099999999999998</v>
      </c>
      <c r="E735" s="27" t="s">
        <v>1137</v>
      </c>
      <c r="F735" s="27"/>
    </row>
    <row r="736" spans="1:6" x14ac:dyDescent="0.3">
      <c r="A736" s="27" t="s">
        <v>1475</v>
      </c>
      <c r="B736" s="27" t="s">
        <v>11</v>
      </c>
      <c r="C736">
        <v>240.85</v>
      </c>
      <c r="D736">
        <v>246.7</v>
      </c>
      <c r="E736" s="27" t="s">
        <v>1142</v>
      </c>
      <c r="F736" s="27"/>
    </row>
    <row r="737" spans="1:6" x14ac:dyDescent="0.3">
      <c r="A737" s="27" t="s">
        <v>1141</v>
      </c>
      <c r="B737" s="27" t="s">
        <v>10</v>
      </c>
      <c r="C737">
        <v>539.5</v>
      </c>
      <c r="D737">
        <v>552.6</v>
      </c>
      <c r="E737" s="27" t="s">
        <v>1142</v>
      </c>
      <c r="F737" s="27"/>
    </row>
    <row r="738" spans="1:6" x14ac:dyDescent="0.3">
      <c r="A738" s="27" t="s">
        <v>1104</v>
      </c>
      <c r="B738" s="27" t="s">
        <v>11</v>
      </c>
      <c r="C738">
        <v>37</v>
      </c>
      <c r="D738">
        <v>37.9</v>
      </c>
      <c r="E738" s="27" t="s">
        <v>1142</v>
      </c>
      <c r="F738" s="27"/>
    </row>
    <row r="739" spans="1:6" x14ac:dyDescent="0.3">
      <c r="A739" s="27" t="s">
        <v>1247</v>
      </c>
      <c r="B739" s="27" t="s">
        <v>10</v>
      </c>
      <c r="C739">
        <v>148.30000000000001</v>
      </c>
      <c r="D739">
        <v>151.9</v>
      </c>
      <c r="E739" s="27" t="s">
        <v>1142</v>
      </c>
      <c r="F739" s="27"/>
    </row>
    <row r="740" spans="1:6" x14ac:dyDescent="0.3">
      <c r="A740" s="27" t="s">
        <v>1143</v>
      </c>
      <c r="B740" s="27" t="s">
        <v>10</v>
      </c>
      <c r="C740">
        <v>258.75</v>
      </c>
      <c r="D740">
        <v>265</v>
      </c>
      <c r="E740" s="27" t="s">
        <v>1144</v>
      </c>
      <c r="F740" s="27"/>
    </row>
    <row r="741" spans="1:6" x14ac:dyDescent="0.3">
      <c r="A741" s="27" t="s">
        <v>1147</v>
      </c>
      <c r="B741" s="27" t="s">
        <v>11</v>
      </c>
      <c r="C741">
        <v>134.9</v>
      </c>
      <c r="D741">
        <v>138.15</v>
      </c>
      <c r="E741" s="27" t="s">
        <v>1146</v>
      </c>
      <c r="F741" s="27"/>
    </row>
    <row r="742" spans="1:6" x14ac:dyDescent="0.3">
      <c r="A742" s="27" t="s">
        <v>1046</v>
      </c>
      <c r="B742" s="27" t="s">
        <v>10</v>
      </c>
      <c r="C742">
        <v>60.05</v>
      </c>
      <c r="D742">
        <v>61.5</v>
      </c>
      <c r="E742" s="27" t="s">
        <v>1146</v>
      </c>
      <c r="F742" s="27"/>
    </row>
    <row r="743" spans="1:6" x14ac:dyDescent="0.3">
      <c r="A743" s="27" t="s">
        <v>1093</v>
      </c>
      <c r="B743" s="27" t="s">
        <v>11</v>
      </c>
      <c r="C743">
        <v>191</v>
      </c>
      <c r="D743">
        <v>195.6</v>
      </c>
      <c r="E743" s="27" t="s">
        <v>1146</v>
      </c>
      <c r="F743" s="27"/>
    </row>
    <row r="744" spans="1:6" x14ac:dyDescent="0.3">
      <c r="A744" s="27" t="s">
        <v>1105</v>
      </c>
      <c r="B744" s="27" t="s">
        <v>10</v>
      </c>
      <c r="C744">
        <v>62.15</v>
      </c>
      <c r="D744">
        <v>63.65</v>
      </c>
      <c r="E744" s="27" t="s">
        <v>1146</v>
      </c>
      <c r="F744" s="27"/>
    </row>
    <row r="745" spans="1:6" x14ac:dyDescent="0.3">
      <c r="A745" s="27" t="s">
        <v>1629</v>
      </c>
      <c r="B745" s="27" t="s">
        <v>328</v>
      </c>
      <c r="C745">
        <v>10351</v>
      </c>
      <c r="D745">
        <v>10600</v>
      </c>
      <c r="E745" s="27" t="s">
        <v>1146</v>
      </c>
      <c r="F745" s="27"/>
    </row>
    <row r="746" spans="1:6" x14ac:dyDescent="0.3">
      <c r="A746" s="27" t="s">
        <v>954</v>
      </c>
      <c r="B746" s="27" t="s">
        <v>29</v>
      </c>
      <c r="C746">
        <v>184.8</v>
      </c>
      <c r="D746">
        <v>189.25</v>
      </c>
      <c r="E746" s="27" t="s">
        <v>1146</v>
      </c>
      <c r="F746" s="27"/>
    </row>
    <row r="747" spans="1:6" x14ac:dyDescent="0.3">
      <c r="A747" s="27" t="s">
        <v>846</v>
      </c>
      <c r="B747" s="27" t="s">
        <v>33</v>
      </c>
      <c r="C747">
        <v>133.30000000000001</v>
      </c>
      <c r="D747">
        <v>136.5</v>
      </c>
      <c r="E747" s="27" t="s">
        <v>1149</v>
      </c>
      <c r="F747" s="27"/>
    </row>
    <row r="748" spans="1:6" x14ac:dyDescent="0.3">
      <c r="A748" s="27" t="s">
        <v>1153</v>
      </c>
      <c r="B748" s="27" t="s">
        <v>11</v>
      </c>
      <c r="C748">
        <v>5.04</v>
      </c>
      <c r="D748">
        <v>5.16</v>
      </c>
      <c r="E748" s="27" t="s">
        <v>1154</v>
      </c>
      <c r="F748" s="27"/>
    </row>
    <row r="749" spans="1:6" x14ac:dyDescent="0.3">
      <c r="A749" s="27" t="s">
        <v>1155</v>
      </c>
      <c r="B749" s="27" t="s">
        <v>11</v>
      </c>
      <c r="C749">
        <v>42</v>
      </c>
      <c r="D749">
        <v>43</v>
      </c>
      <c r="E749" s="27" t="s">
        <v>1154</v>
      </c>
      <c r="F749" s="27"/>
    </row>
    <row r="750" spans="1:6" x14ac:dyDescent="0.3">
      <c r="A750" s="27" t="s">
        <v>794</v>
      </c>
      <c r="B750" s="27" t="s">
        <v>33</v>
      </c>
      <c r="C750">
        <v>48.4</v>
      </c>
      <c r="D750">
        <v>49.55</v>
      </c>
      <c r="E750" s="27" t="s">
        <v>1154</v>
      </c>
      <c r="F750" s="27"/>
    </row>
    <row r="751" spans="1:6" x14ac:dyDescent="0.3">
      <c r="A751" s="27" t="s">
        <v>1158</v>
      </c>
      <c r="B751" s="27" t="s">
        <v>33</v>
      </c>
      <c r="C751">
        <v>177.2</v>
      </c>
      <c r="D751">
        <v>181.4</v>
      </c>
      <c r="E751" s="27" t="s">
        <v>1157</v>
      </c>
      <c r="F751" s="27"/>
    </row>
    <row r="752" spans="1:6" x14ac:dyDescent="0.3">
      <c r="A752" s="27" t="s">
        <v>1131</v>
      </c>
      <c r="B752" s="27" t="s">
        <v>10</v>
      </c>
      <c r="C752">
        <v>219.55</v>
      </c>
      <c r="D752">
        <v>224.75</v>
      </c>
      <c r="E752" s="27" t="s">
        <v>1157</v>
      </c>
      <c r="F752" s="27"/>
    </row>
    <row r="753" spans="1:6" x14ac:dyDescent="0.3">
      <c r="A753" s="27" t="s">
        <v>1159</v>
      </c>
      <c r="B753" s="27" t="s">
        <v>33</v>
      </c>
      <c r="C753">
        <v>12.65</v>
      </c>
      <c r="D753">
        <v>12.95</v>
      </c>
      <c r="E753" s="27" t="s">
        <v>1157</v>
      </c>
      <c r="F753" s="27"/>
    </row>
    <row r="754" spans="1:6" x14ac:dyDescent="0.3">
      <c r="A754" s="27" t="s">
        <v>1121</v>
      </c>
      <c r="B754" s="27" t="s">
        <v>10</v>
      </c>
      <c r="C754">
        <v>166.75</v>
      </c>
      <c r="D754">
        <v>170.7</v>
      </c>
      <c r="E754" s="27" t="s">
        <v>1157</v>
      </c>
      <c r="F754" s="27"/>
    </row>
    <row r="755" spans="1:6" x14ac:dyDescent="0.3">
      <c r="A755" s="27" t="s">
        <v>1183</v>
      </c>
      <c r="B755" s="27" t="s">
        <v>10</v>
      </c>
      <c r="C755">
        <v>477.65</v>
      </c>
      <c r="D755">
        <v>488.95</v>
      </c>
      <c r="E755" s="27" t="s">
        <v>1157</v>
      </c>
      <c r="F755" s="27"/>
    </row>
    <row r="756" spans="1:6" x14ac:dyDescent="0.3">
      <c r="A756" s="27" t="s">
        <v>1089</v>
      </c>
      <c r="B756" s="27" t="s">
        <v>11</v>
      </c>
      <c r="C756">
        <v>164.35</v>
      </c>
      <c r="D756">
        <v>168.25</v>
      </c>
      <c r="E756" s="27" t="s">
        <v>1157</v>
      </c>
      <c r="F756" s="27"/>
    </row>
    <row r="757" spans="1:6" x14ac:dyDescent="0.3">
      <c r="A757" s="27" t="s">
        <v>3363</v>
      </c>
      <c r="B757" s="27" t="s">
        <v>328</v>
      </c>
      <c r="C757">
        <v>2.96</v>
      </c>
      <c r="D757">
        <v>3.03</v>
      </c>
      <c r="E757" s="27" t="s">
        <v>1161</v>
      </c>
      <c r="F757" s="27"/>
    </row>
    <row r="758" spans="1:6" x14ac:dyDescent="0.3">
      <c r="A758" s="27" t="s">
        <v>1166</v>
      </c>
      <c r="B758" s="27" t="s">
        <v>11</v>
      </c>
      <c r="C758">
        <v>21.15</v>
      </c>
      <c r="D758">
        <v>21.65</v>
      </c>
      <c r="E758" s="27" t="s">
        <v>1161</v>
      </c>
      <c r="F758" s="27"/>
    </row>
    <row r="759" spans="1:6" x14ac:dyDescent="0.3">
      <c r="A759" s="27" t="s">
        <v>1162</v>
      </c>
      <c r="B759" s="27" t="s">
        <v>10</v>
      </c>
      <c r="C759">
        <v>5676.8</v>
      </c>
      <c r="D759">
        <v>5811</v>
      </c>
      <c r="E759" s="27" t="s">
        <v>1161</v>
      </c>
      <c r="F759" s="27"/>
    </row>
    <row r="760" spans="1:6" x14ac:dyDescent="0.3">
      <c r="A760" s="27" t="s">
        <v>1164</v>
      </c>
      <c r="B760" s="27" t="s">
        <v>33</v>
      </c>
      <c r="C760">
        <v>296.95</v>
      </c>
      <c r="D760">
        <v>303.95</v>
      </c>
      <c r="E760" s="27" t="s">
        <v>1161</v>
      </c>
      <c r="F760" s="27"/>
    </row>
    <row r="761" spans="1:6" x14ac:dyDescent="0.3">
      <c r="A761" s="27" t="s">
        <v>1160</v>
      </c>
      <c r="B761" s="27" t="s">
        <v>10</v>
      </c>
      <c r="C761">
        <v>328.25</v>
      </c>
      <c r="D761">
        <v>336</v>
      </c>
      <c r="E761" s="27" t="s">
        <v>1161</v>
      </c>
      <c r="F761" s="27"/>
    </row>
    <row r="762" spans="1:6" x14ac:dyDescent="0.3">
      <c r="A762" s="27" t="s">
        <v>1163</v>
      </c>
      <c r="B762" s="27" t="s">
        <v>328</v>
      </c>
      <c r="C762">
        <v>31.75</v>
      </c>
      <c r="D762">
        <v>32.5</v>
      </c>
      <c r="E762" s="27" t="s">
        <v>1161</v>
      </c>
      <c r="F762" s="27"/>
    </row>
    <row r="763" spans="1:6" x14ac:dyDescent="0.3">
      <c r="A763" s="27" t="s">
        <v>1167</v>
      </c>
      <c r="B763" s="27" t="s">
        <v>11</v>
      </c>
      <c r="C763">
        <v>190.35</v>
      </c>
      <c r="D763">
        <v>194.85</v>
      </c>
      <c r="E763" s="27" t="s">
        <v>1161</v>
      </c>
      <c r="F763" s="27"/>
    </row>
    <row r="764" spans="1:6" x14ac:dyDescent="0.3">
      <c r="A764" s="27" t="s">
        <v>1165</v>
      </c>
      <c r="B764" s="27" t="s">
        <v>33</v>
      </c>
      <c r="C764">
        <v>78.25</v>
      </c>
      <c r="D764">
        <v>80.099999999999994</v>
      </c>
      <c r="E764" s="27" t="s">
        <v>1161</v>
      </c>
      <c r="F764" s="27"/>
    </row>
    <row r="765" spans="1:6" x14ac:dyDescent="0.3">
      <c r="A765" s="27" t="s">
        <v>1326</v>
      </c>
      <c r="B765" s="27" t="s">
        <v>10</v>
      </c>
      <c r="C765">
        <v>50.85</v>
      </c>
      <c r="D765">
        <v>52.05</v>
      </c>
      <c r="E765" s="27" t="s">
        <v>1161</v>
      </c>
      <c r="F765" s="27"/>
    </row>
    <row r="766" spans="1:6" x14ac:dyDescent="0.3">
      <c r="A766" s="27" t="s">
        <v>1170</v>
      </c>
      <c r="B766" s="27" t="s">
        <v>10</v>
      </c>
      <c r="C766">
        <v>2458.3000000000002</v>
      </c>
      <c r="D766">
        <v>2516</v>
      </c>
      <c r="E766" s="27" t="s">
        <v>1169</v>
      </c>
      <c r="F766" s="27"/>
    </row>
    <row r="767" spans="1:6" x14ac:dyDescent="0.3">
      <c r="A767" s="27" t="s">
        <v>1176</v>
      </c>
      <c r="B767" s="27" t="s">
        <v>11</v>
      </c>
      <c r="C767">
        <v>44.95</v>
      </c>
      <c r="D767">
        <v>46</v>
      </c>
      <c r="E767" s="27" t="s">
        <v>1172</v>
      </c>
      <c r="F767" s="27"/>
    </row>
    <row r="768" spans="1:6" x14ac:dyDescent="0.3">
      <c r="A768" s="27" t="s">
        <v>1174</v>
      </c>
      <c r="B768" s="27" t="s">
        <v>11</v>
      </c>
      <c r="C768">
        <v>8.99</v>
      </c>
      <c r="D768">
        <v>9.1999999999999993</v>
      </c>
      <c r="E768" s="27" t="s">
        <v>1172</v>
      </c>
      <c r="F768" s="27"/>
    </row>
    <row r="769" spans="1:6" x14ac:dyDescent="0.3">
      <c r="A769" s="27" t="s">
        <v>1173</v>
      </c>
      <c r="B769" s="27" t="s">
        <v>33</v>
      </c>
      <c r="C769">
        <v>94.2</v>
      </c>
      <c r="D769">
        <v>96.4</v>
      </c>
      <c r="E769" s="27" t="s">
        <v>1172</v>
      </c>
      <c r="F769" s="27"/>
    </row>
    <row r="770" spans="1:6" x14ac:dyDescent="0.3">
      <c r="A770" s="27" t="s">
        <v>1187</v>
      </c>
      <c r="B770" s="27" t="s">
        <v>33</v>
      </c>
      <c r="C770">
        <v>73.650000000000006</v>
      </c>
      <c r="D770">
        <v>75.349999999999994</v>
      </c>
      <c r="E770" s="27" t="s">
        <v>1182</v>
      </c>
      <c r="F770" s="27"/>
    </row>
    <row r="771" spans="1:6" x14ac:dyDescent="0.3">
      <c r="A771" s="27" t="s">
        <v>1185</v>
      </c>
      <c r="B771" s="27" t="s">
        <v>11</v>
      </c>
      <c r="C771">
        <v>23.8</v>
      </c>
      <c r="D771">
        <v>24.35</v>
      </c>
      <c r="E771" s="27" t="s">
        <v>1182</v>
      </c>
      <c r="F771" s="27"/>
    </row>
    <row r="772" spans="1:6" x14ac:dyDescent="0.3">
      <c r="A772" s="27" t="s">
        <v>1181</v>
      </c>
      <c r="B772" s="27" t="s">
        <v>11</v>
      </c>
      <c r="C772">
        <v>62.8</v>
      </c>
      <c r="D772">
        <v>64.25</v>
      </c>
      <c r="E772" s="27" t="s">
        <v>1182</v>
      </c>
      <c r="F772" s="27"/>
    </row>
    <row r="773" spans="1:6" x14ac:dyDescent="0.3">
      <c r="A773" s="27" t="s">
        <v>1191</v>
      </c>
      <c r="B773" s="27" t="s">
        <v>33</v>
      </c>
      <c r="C773">
        <v>82.7</v>
      </c>
      <c r="D773">
        <v>84.6</v>
      </c>
      <c r="E773" s="27" t="s">
        <v>1189</v>
      </c>
      <c r="F773" s="27"/>
    </row>
    <row r="774" spans="1:6" x14ac:dyDescent="0.3">
      <c r="A774" s="27" t="s">
        <v>1190</v>
      </c>
      <c r="B774" s="27" t="s">
        <v>11</v>
      </c>
      <c r="C774">
        <v>97.7</v>
      </c>
      <c r="D774">
        <v>99.95</v>
      </c>
      <c r="E774" s="27" t="s">
        <v>1189</v>
      </c>
      <c r="F774" s="27"/>
    </row>
    <row r="775" spans="1:6" x14ac:dyDescent="0.3">
      <c r="A775" s="27" t="s">
        <v>1171</v>
      </c>
      <c r="B775" s="27" t="s">
        <v>10</v>
      </c>
      <c r="C775">
        <v>115.35</v>
      </c>
      <c r="D775">
        <v>118</v>
      </c>
      <c r="E775" s="27" t="s">
        <v>1189</v>
      </c>
      <c r="F775" s="27"/>
    </row>
    <row r="776" spans="1:6" x14ac:dyDescent="0.3">
      <c r="A776" s="27" t="s">
        <v>981</v>
      </c>
      <c r="B776" s="27" t="s">
        <v>11</v>
      </c>
      <c r="C776">
        <v>37.200000000000003</v>
      </c>
      <c r="D776">
        <v>38.049999999999997</v>
      </c>
      <c r="E776" s="27" t="s">
        <v>1193</v>
      </c>
      <c r="F776" s="27"/>
    </row>
    <row r="777" spans="1:6" x14ac:dyDescent="0.3">
      <c r="A777" s="27" t="s">
        <v>1194</v>
      </c>
      <c r="B777" s="27" t="s">
        <v>11</v>
      </c>
      <c r="C777">
        <v>188.7</v>
      </c>
      <c r="D777">
        <v>193</v>
      </c>
      <c r="E777" s="27" t="s">
        <v>1193</v>
      </c>
      <c r="F777" s="27"/>
    </row>
    <row r="778" spans="1:6" x14ac:dyDescent="0.3">
      <c r="A778" s="27" t="s">
        <v>1195</v>
      </c>
      <c r="B778" s="27" t="s">
        <v>10</v>
      </c>
      <c r="C778">
        <v>281.10000000000002</v>
      </c>
      <c r="D778">
        <v>287.5</v>
      </c>
      <c r="E778" s="27" t="s">
        <v>1193</v>
      </c>
      <c r="F778" s="27"/>
    </row>
    <row r="779" spans="1:6" x14ac:dyDescent="0.3">
      <c r="A779" s="27" t="s">
        <v>1197</v>
      </c>
      <c r="B779" s="27" t="s">
        <v>10</v>
      </c>
      <c r="C779">
        <v>15864.95</v>
      </c>
      <c r="D779">
        <v>16226.7</v>
      </c>
      <c r="E779" s="27" t="s">
        <v>1193</v>
      </c>
      <c r="F779" s="27"/>
    </row>
    <row r="780" spans="1:6" x14ac:dyDescent="0.3">
      <c r="A780" s="27" t="s">
        <v>1200</v>
      </c>
      <c r="B780" s="27" t="s">
        <v>29</v>
      </c>
      <c r="C780">
        <v>0.88</v>
      </c>
      <c r="D780">
        <v>0.9</v>
      </c>
      <c r="E780" s="27" t="s">
        <v>1198</v>
      </c>
      <c r="F780" s="27"/>
    </row>
    <row r="781" spans="1:6" x14ac:dyDescent="0.3">
      <c r="A781" s="27" t="s">
        <v>1296</v>
      </c>
      <c r="B781" s="27" t="s">
        <v>10</v>
      </c>
      <c r="C781">
        <v>194.4</v>
      </c>
      <c r="D781">
        <v>198.8</v>
      </c>
      <c r="E781" s="27" t="s">
        <v>1202</v>
      </c>
      <c r="F781" s="27"/>
    </row>
    <row r="782" spans="1:6" x14ac:dyDescent="0.3">
      <c r="A782" s="27" t="s">
        <v>1201</v>
      </c>
      <c r="B782" s="27" t="s">
        <v>11</v>
      </c>
      <c r="C782">
        <v>146.19999999999999</v>
      </c>
      <c r="D782">
        <v>149.5</v>
      </c>
      <c r="E782" s="27" t="s">
        <v>1202</v>
      </c>
      <c r="F782" s="27"/>
    </row>
    <row r="783" spans="1:6" x14ac:dyDescent="0.3">
      <c r="A783" s="27" t="s">
        <v>1428</v>
      </c>
      <c r="B783" s="27" t="s">
        <v>10</v>
      </c>
      <c r="C783">
        <v>601.20000000000005</v>
      </c>
      <c r="D783">
        <v>614.70000000000005</v>
      </c>
      <c r="E783" s="27" t="s">
        <v>1205</v>
      </c>
      <c r="F783" s="27"/>
    </row>
    <row r="784" spans="1:6" x14ac:dyDescent="0.3">
      <c r="A784" s="27" t="s">
        <v>1433</v>
      </c>
      <c r="B784" s="27" t="s">
        <v>10</v>
      </c>
      <c r="C784">
        <v>11.1</v>
      </c>
      <c r="D784">
        <v>11.35</v>
      </c>
      <c r="E784" s="27" t="s">
        <v>1205</v>
      </c>
      <c r="F784" s="27"/>
    </row>
    <row r="785" spans="1:6" x14ac:dyDescent="0.3">
      <c r="A785" s="27" t="s">
        <v>1208</v>
      </c>
      <c r="B785" s="27" t="s">
        <v>10</v>
      </c>
      <c r="C785">
        <v>2548.8000000000002</v>
      </c>
      <c r="D785">
        <v>2605.9499999999998</v>
      </c>
      <c r="E785" s="27" t="s">
        <v>1209</v>
      </c>
      <c r="F785" s="27"/>
    </row>
    <row r="786" spans="1:6" x14ac:dyDescent="0.3">
      <c r="A786" s="27" t="s">
        <v>1258</v>
      </c>
      <c r="B786" s="27" t="s">
        <v>10</v>
      </c>
      <c r="C786">
        <v>140.5</v>
      </c>
      <c r="D786">
        <v>143.65</v>
      </c>
      <c r="E786" s="27" t="s">
        <v>1209</v>
      </c>
      <c r="F786" s="27"/>
    </row>
    <row r="787" spans="1:6" x14ac:dyDescent="0.3">
      <c r="A787" s="27" t="s">
        <v>1212</v>
      </c>
      <c r="B787" s="27" t="s">
        <v>11</v>
      </c>
      <c r="C787">
        <v>53.65</v>
      </c>
      <c r="D787">
        <v>54.85</v>
      </c>
      <c r="E787" s="27" t="s">
        <v>1209</v>
      </c>
      <c r="F787" s="27"/>
    </row>
    <row r="788" spans="1:6" x14ac:dyDescent="0.3">
      <c r="A788" s="27" t="s">
        <v>1211</v>
      </c>
      <c r="B788" s="27" t="s">
        <v>29</v>
      </c>
      <c r="C788">
        <v>17.850000000000001</v>
      </c>
      <c r="D788">
        <v>18.25</v>
      </c>
      <c r="E788" s="27" t="s">
        <v>1209</v>
      </c>
      <c r="F788" s="27"/>
    </row>
    <row r="789" spans="1:6" x14ac:dyDescent="0.3">
      <c r="A789" s="27" t="s">
        <v>1215</v>
      </c>
      <c r="B789" s="27" t="s">
        <v>33</v>
      </c>
      <c r="C789">
        <v>745.4</v>
      </c>
      <c r="D789">
        <v>762</v>
      </c>
      <c r="E789" s="27" t="s">
        <v>1214</v>
      </c>
      <c r="F789" s="27"/>
    </row>
    <row r="790" spans="1:6" x14ac:dyDescent="0.3">
      <c r="A790" s="27" t="s">
        <v>1220</v>
      </c>
      <c r="B790" s="27" t="s">
        <v>33</v>
      </c>
      <c r="C790">
        <v>27.05</v>
      </c>
      <c r="D790">
        <v>27.65</v>
      </c>
      <c r="E790" s="27" t="s">
        <v>1217</v>
      </c>
      <c r="F790" s="27"/>
    </row>
    <row r="791" spans="1:6" x14ac:dyDescent="0.3">
      <c r="A791" s="27" t="s">
        <v>1150</v>
      </c>
      <c r="B791" s="27" t="s">
        <v>10</v>
      </c>
      <c r="C791">
        <v>54.1</v>
      </c>
      <c r="D791">
        <v>55.3</v>
      </c>
      <c r="E791" s="27" t="s">
        <v>1217</v>
      </c>
      <c r="F791" s="27"/>
    </row>
    <row r="792" spans="1:6" x14ac:dyDescent="0.3">
      <c r="A792" s="27" t="s">
        <v>1221</v>
      </c>
      <c r="B792" s="27" t="s">
        <v>10</v>
      </c>
      <c r="C792">
        <v>371.45</v>
      </c>
      <c r="D792">
        <v>379.7</v>
      </c>
      <c r="E792" s="27" t="s">
        <v>1217</v>
      </c>
      <c r="F792" s="27"/>
    </row>
    <row r="793" spans="1:6" x14ac:dyDescent="0.3">
      <c r="A793" s="27" t="s">
        <v>1222</v>
      </c>
      <c r="B793" s="27" t="s">
        <v>11</v>
      </c>
      <c r="C793">
        <v>346.2</v>
      </c>
      <c r="D793">
        <v>353.85</v>
      </c>
      <c r="E793" s="27" t="s">
        <v>1223</v>
      </c>
      <c r="F793" s="27"/>
    </row>
    <row r="794" spans="1:6" x14ac:dyDescent="0.3">
      <c r="A794" s="27" t="s">
        <v>1206</v>
      </c>
      <c r="B794" s="27" t="s">
        <v>10</v>
      </c>
      <c r="C794">
        <v>128.94999999999999</v>
      </c>
      <c r="D794">
        <v>131.80000000000001</v>
      </c>
      <c r="E794" s="27" t="s">
        <v>1223</v>
      </c>
      <c r="F794" s="27"/>
    </row>
    <row r="795" spans="1:6" x14ac:dyDescent="0.3">
      <c r="A795" s="27" t="s">
        <v>1224</v>
      </c>
      <c r="B795" s="27" t="s">
        <v>11</v>
      </c>
      <c r="C795">
        <v>94.9</v>
      </c>
      <c r="D795">
        <v>97</v>
      </c>
      <c r="E795" s="27" t="s">
        <v>1223</v>
      </c>
      <c r="F795" s="27"/>
    </row>
    <row r="796" spans="1:6" x14ac:dyDescent="0.3">
      <c r="A796" s="27" t="s">
        <v>1225</v>
      </c>
      <c r="B796" s="27" t="s">
        <v>11</v>
      </c>
      <c r="C796">
        <v>109.6</v>
      </c>
      <c r="D796">
        <v>112</v>
      </c>
      <c r="E796" s="27" t="s">
        <v>1226</v>
      </c>
      <c r="F796" s="27"/>
    </row>
    <row r="797" spans="1:6" x14ac:dyDescent="0.3">
      <c r="A797" s="27" t="s">
        <v>1364</v>
      </c>
      <c r="B797" s="27" t="s">
        <v>11</v>
      </c>
      <c r="C797">
        <v>7.32</v>
      </c>
      <c r="D797">
        <v>7.48</v>
      </c>
      <c r="E797" s="27" t="s">
        <v>1226</v>
      </c>
      <c r="F797" s="27"/>
    </row>
    <row r="798" spans="1:6" x14ac:dyDescent="0.3">
      <c r="A798" s="27" t="s">
        <v>1186</v>
      </c>
      <c r="B798" s="27" t="s">
        <v>10</v>
      </c>
      <c r="C798">
        <v>84.3</v>
      </c>
      <c r="D798">
        <v>86.15</v>
      </c>
      <c r="E798" s="27" t="s">
        <v>1226</v>
      </c>
      <c r="F798" s="27"/>
    </row>
    <row r="799" spans="1:6" x14ac:dyDescent="0.3">
      <c r="A799" s="27" t="s">
        <v>1259</v>
      </c>
      <c r="B799" s="27" t="s">
        <v>10</v>
      </c>
      <c r="C799">
        <v>460.25</v>
      </c>
      <c r="D799">
        <v>470.35</v>
      </c>
      <c r="E799" s="27" t="s">
        <v>1226</v>
      </c>
      <c r="F799" s="27"/>
    </row>
    <row r="800" spans="1:6" x14ac:dyDescent="0.3">
      <c r="A800" s="27" t="s">
        <v>1199</v>
      </c>
      <c r="B800" s="27" t="s">
        <v>10</v>
      </c>
      <c r="C800">
        <v>55.1</v>
      </c>
      <c r="D800">
        <v>56.3</v>
      </c>
      <c r="E800" s="27" t="s">
        <v>1228</v>
      </c>
      <c r="F800" s="27"/>
    </row>
    <row r="801" spans="1:6" x14ac:dyDescent="0.3">
      <c r="A801" s="27" t="s">
        <v>1431</v>
      </c>
      <c r="B801" s="27" t="s">
        <v>10</v>
      </c>
      <c r="C801">
        <v>217.05</v>
      </c>
      <c r="D801">
        <v>221.75</v>
      </c>
      <c r="E801" s="27" t="s">
        <v>1230</v>
      </c>
      <c r="F801" s="27"/>
    </row>
    <row r="802" spans="1:6" x14ac:dyDescent="0.3">
      <c r="A802" s="27" t="s">
        <v>1148</v>
      </c>
      <c r="B802" s="27" t="s">
        <v>10</v>
      </c>
      <c r="C802">
        <v>25991.55</v>
      </c>
      <c r="D802">
        <v>26554.75</v>
      </c>
      <c r="E802" s="27" t="s">
        <v>1230</v>
      </c>
      <c r="F802" s="27"/>
    </row>
    <row r="803" spans="1:6" x14ac:dyDescent="0.3">
      <c r="A803" s="27" t="s">
        <v>1175</v>
      </c>
      <c r="B803" s="27" t="s">
        <v>10</v>
      </c>
      <c r="C803">
        <v>29.9</v>
      </c>
      <c r="D803">
        <v>30.55</v>
      </c>
      <c r="E803" s="27" t="s">
        <v>1230</v>
      </c>
      <c r="F803" s="27"/>
    </row>
    <row r="804" spans="1:6" x14ac:dyDescent="0.3">
      <c r="A804" s="27" t="s">
        <v>1232</v>
      </c>
      <c r="B804" s="27" t="s">
        <v>11</v>
      </c>
      <c r="C804">
        <v>154.5</v>
      </c>
      <c r="D804">
        <v>157.85</v>
      </c>
      <c r="E804" s="27" t="s">
        <v>1230</v>
      </c>
      <c r="F804" s="27"/>
    </row>
    <row r="805" spans="1:6" x14ac:dyDescent="0.3">
      <c r="A805" s="27" t="s">
        <v>1229</v>
      </c>
      <c r="B805" s="27" t="s">
        <v>11</v>
      </c>
      <c r="C805">
        <v>190.85</v>
      </c>
      <c r="D805">
        <v>195</v>
      </c>
      <c r="E805" s="27" t="s">
        <v>1230</v>
      </c>
      <c r="F805" s="27"/>
    </row>
    <row r="806" spans="1:6" x14ac:dyDescent="0.3">
      <c r="A806" s="27" t="s">
        <v>1184</v>
      </c>
      <c r="B806" s="27" t="s">
        <v>10</v>
      </c>
      <c r="C806">
        <v>2203.1999999999998</v>
      </c>
      <c r="D806">
        <v>2250.65</v>
      </c>
      <c r="E806" s="27" t="s">
        <v>1236</v>
      </c>
      <c r="F806" s="27"/>
    </row>
    <row r="807" spans="1:6" x14ac:dyDescent="0.3">
      <c r="A807" s="27" t="s">
        <v>1484</v>
      </c>
      <c r="B807" s="27" t="s">
        <v>10</v>
      </c>
      <c r="C807">
        <v>1242</v>
      </c>
      <c r="D807">
        <v>1268.75</v>
      </c>
      <c r="E807" s="27" t="s">
        <v>1236</v>
      </c>
      <c r="F807" s="27"/>
    </row>
    <row r="808" spans="1:6" x14ac:dyDescent="0.3">
      <c r="A808" s="27" t="s">
        <v>1237</v>
      </c>
      <c r="B808" s="27" t="s">
        <v>11</v>
      </c>
      <c r="C808">
        <v>438.1</v>
      </c>
      <c r="D808">
        <v>447.5</v>
      </c>
      <c r="E808" s="27" t="s">
        <v>1236</v>
      </c>
      <c r="F808" s="27"/>
    </row>
    <row r="809" spans="1:6" x14ac:dyDescent="0.3">
      <c r="A809" s="27" t="s">
        <v>1240</v>
      </c>
      <c r="B809" s="27" t="s">
        <v>33</v>
      </c>
      <c r="C809">
        <v>98.2</v>
      </c>
      <c r="D809">
        <v>100.3</v>
      </c>
      <c r="E809" s="27" t="s">
        <v>1239</v>
      </c>
      <c r="F809" s="27"/>
    </row>
    <row r="810" spans="1:6" x14ac:dyDescent="0.3">
      <c r="A810" s="27" t="s">
        <v>1238</v>
      </c>
      <c r="B810" s="27" t="s">
        <v>33</v>
      </c>
      <c r="C810">
        <v>28.1</v>
      </c>
      <c r="D810">
        <v>28.7</v>
      </c>
      <c r="E810" s="27" t="s">
        <v>1239</v>
      </c>
      <c r="F810" s="27"/>
    </row>
    <row r="811" spans="1:6" x14ac:dyDescent="0.3">
      <c r="A811" s="27" t="s">
        <v>1242</v>
      </c>
      <c r="B811" s="27" t="s">
        <v>33</v>
      </c>
      <c r="C811">
        <v>25.85</v>
      </c>
      <c r="D811">
        <v>26.4</v>
      </c>
      <c r="E811" s="27" t="s">
        <v>1243</v>
      </c>
      <c r="F811" s="27"/>
    </row>
    <row r="812" spans="1:6" x14ac:dyDescent="0.3">
      <c r="A812" s="27" t="s">
        <v>1244</v>
      </c>
      <c r="B812" s="27" t="s">
        <v>11</v>
      </c>
      <c r="C812">
        <v>61</v>
      </c>
      <c r="D812">
        <v>62.3</v>
      </c>
      <c r="E812" s="27" t="s">
        <v>1243</v>
      </c>
      <c r="F812" s="27"/>
    </row>
    <row r="813" spans="1:6" x14ac:dyDescent="0.3">
      <c r="A813" s="27" t="s">
        <v>1264</v>
      </c>
      <c r="B813" s="27" t="s">
        <v>10</v>
      </c>
      <c r="C813">
        <v>134.44999999999999</v>
      </c>
      <c r="D813">
        <v>137.30000000000001</v>
      </c>
      <c r="E813" s="27" t="s">
        <v>1246</v>
      </c>
      <c r="F813" s="27"/>
    </row>
    <row r="814" spans="1:6" x14ac:dyDescent="0.3">
      <c r="A814" s="27" t="s">
        <v>1178</v>
      </c>
      <c r="B814" s="27" t="s">
        <v>10</v>
      </c>
      <c r="C814">
        <v>94.25</v>
      </c>
      <c r="D814">
        <v>96.25</v>
      </c>
      <c r="E814" s="27" t="s">
        <v>1246</v>
      </c>
      <c r="F814" s="27"/>
    </row>
    <row r="815" spans="1:6" x14ac:dyDescent="0.3">
      <c r="A815" s="27" t="s">
        <v>1252</v>
      </c>
      <c r="B815" s="27" t="s">
        <v>29</v>
      </c>
      <c r="C815">
        <v>13.73</v>
      </c>
      <c r="D815">
        <v>14.02</v>
      </c>
      <c r="E815" s="27" t="s">
        <v>1249</v>
      </c>
      <c r="F815" s="27"/>
    </row>
    <row r="816" spans="1:6" x14ac:dyDescent="0.3">
      <c r="A816" s="27" t="s">
        <v>1253</v>
      </c>
      <c r="B816" s="27" t="s">
        <v>29</v>
      </c>
      <c r="C816">
        <v>47.4</v>
      </c>
      <c r="D816">
        <v>48.4</v>
      </c>
      <c r="E816" s="27" t="s">
        <v>1249</v>
      </c>
      <c r="F816" s="27"/>
    </row>
    <row r="817" spans="1:6" x14ac:dyDescent="0.3">
      <c r="A817" s="27" t="s">
        <v>1277</v>
      </c>
      <c r="B817" s="27" t="s">
        <v>10</v>
      </c>
      <c r="C817">
        <v>3516.8</v>
      </c>
      <c r="D817">
        <v>3590.85</v>
      </c>
      <c r="E817" s="27" t="s">
        <v>1249</v>
      </c>
      <c r="F817" s="27"/>
    </row>
    <row r="818" spans="1:6" x14ac:dyDescent="0.3">
      <c r="A818" s="27" t="s">
        <v>1151</v>
      </c>
      <c r="B818" s="27" t="s">
        <v>10</v>
      </c>
      <c r="C818">
        <v>90030.2</v>
      </c>
      <c r="D818">
        <v>91930.35</v>
      </c>
      <c r="E818" s="27" t="s">
        <v>1249</v>
      </c>
      <c r="F818" s="27"/>
    </row>
    <row r="819" spans="1:6" x14ac:dyDescent="0.3">
      <c r="A819" s="27" t="s">
        <v>1250</v>
      </c>
      <c r="B819" s="27" t="s">
        <v>11</v>
      </c>
      <c r="C819">
        <v>125.45</v>
      </c>
      <c r="D819">
        <v>128.1</v>
      </c>
      <c r="E819" s="27" t="s">
        <v>1249</v>
      </c>
      <c r="F819" s="27"/>
    </row>
    <row r="820" spans="1:6" x14ac:dyDescent="0.3">
      <c r="A820" s="27" t="s">
        <v>1251</v>
      </c>
      <c r="B820" s="27" t="s">
        <v>11</v>
      </c>
      <c r="C820">
        <v>40.25</v>
      </c>
      <c r="D820">
        <v>41.1</v>
      </c>
      <c r="E820" s="27" t="s">
        <v>1249</v>
      </c>
      <c r="F820" s="27"/>
    </row>
    <row r="821" spans="1:6" x14ac:dyDescent="0.3">
      <c r="A821" s="27" t="s">
        <v>1255</v>
      </c>
      <c r="B821" s="27" t="s">
        <v>11</v>
      </c>
      <c r="C821">
        <v>45.3</v>
      </c>
      <c r="D821">
        <v>46.25</v>
      </c>
      <c r="E821" s="27" t="s">
        <v>1256</v>
      </c>
      <c r="F821" s="27"/>
    </row>
    <row r="822" spans="1:6" x14ac:dyDescent="0.3">
      <c r="A822" s="27" t="s">
        <v>1213</v>
      </c>
      <c r="B822" s="27" t="s">
        <v>10</v>
      </c>
      <c r="C822">
        <v>71.650000000000006</v>
      </c>
      <c r="D822">
        <v>73.150000000000006</v>
      </c>
      <c r="E822" s="27" t="s">
        <v>1260</v>
      </c>
      <c r="F822" s="27"/>
    </row>
    <row r="823" spans="1:6" x14ac:dyDescent="0.3">
      <c r="A823" s="27" t="s">
        <v>1261</v>
      </c>
      <c r="B823" s="27" t="s">
        <v>10</v>
      </c>
      <c r="C823">
        <v>43</v>
      </c>
      <c r="D823">
        <v>43.9</v>
      </c>
      <c r="E823" s="27" t="s">
        <v>1260</v>
      </c>
      <c r="F823" s="27"/>
    </row>
    <row r="824" spans="1:6" x14ac:dyDescent="0.3">
      <c r="A824" s="27" t="s">
        <v>1262</v>
      </c>
      <c r="B824" s="27" t="s">
        <v>10</v>
      </c>
      <c r="C824">
        <v>1663.45</v>
      </c>
      <c r="D824">
        <v>1698</v>
      </c>
      <c r="E824" s="27" t="s">
        <v>1263</v>
      </c>
      <c r="F824" s="27"/>
    </row>
    <row r="825" spans="1:6" x14ac:dyDescent="0.3">
      <c r="A825" s="27" t="s">
        <v>1480</v>
      </c>
      <c r="B825" s="27" t="s">
        <v>33</v>
      </c>
      <c r="C825">
        <v>67.2</v>
      </c>
      <c r="D825">
        <v>68.599999999999994</v>
      </c>
      <c r="E825" s="27" t="s">
        <v>1263</v>
      </c>
      <c r="F825" s="27"/>
    </row>
    <row r="826" spans="1:6" x14ac:dyDescent="0.3">
      <c r="A826" s="27" t="s">
        <v>1265</v>
      </c>
      <c r="B826" s="27" t="s">
        <v>11</v>
      </c>
      <c r="C826">
        <v>579.35</v>
      </c>
      <c r="D826">
        <v>591.4</v>
      </c>
      <c r="E826" s="27" t="s">
        <v>1263</v>
      </c>
      <c r="F826" s="27"/>
    </row>
    <row r="827" spans="1:6" x14ac:dyDescent="0.3">
      <c r="A827" s="27" t="s">
        <v>1128</v>
      </c>
      <c r="B827" s="27" t="s">
        <v>11</v>
      </c>
      <c r="C827">
        <v>45.95</v>
      </c>
      <c r="D827">
        <v>46.9</v>
      </c>
      <c r="E827" s="27" t="s">
        <v>1267</v>
      </c>
      <c r="F827" s="27"/>
    </row>
    <row r="828" spans="1:6" x14ac:dyDescent="0.3">
      <c r="A828" s="27" t="s">
        <v>1268</v>
      </c>
      <c r="B828" s="27" t="s">
        <v>33</v>
      </c>
      <c r="C828">
        <v>16.899999999999999</v>
      </c>
      <c r="D828">
        <v>17.25</v>
      </c>
      <c r="E828" s="27" t="s">
        <v>1267</v>
      </c>
      <c r="F828" s="27"/>
    </row>
    <row r="829" spans="1:6" x14ac:dyDescent="0.3">
      <c r="A829" s="27" t="s">
        <v>1269</v>
      </c>
      <c r="B829" s="27" t="s">
        <v>22</v>
      </c>
      <c r="C829">
        <v>69.900000000000006</v>
      </c>
      <c r="D829">
        <v>71.349999999999994</v>
      </c>
      <c r="E829" s="27" t="s">
        <v>1267</v>
      </c>
      <c r="F829" s="27"/>
    </row>
    <row r="830" spans="1:6" x14ac:dyDescent="0.3">
      <c r="A830" s="27" t="s">
        <v>1302</v>
      </c>
      <c r="B830" s="27" t="s">
        <v>10</v>
      </c>
      <c r="C830">
        <v>292.14999999999998</v>
      </c>
      <c r="D830">
        <v>298.2</v>
      </c>
      <c r="E830" s="27" t="s">
        <v>1267</v>
      </c>
      <c r="F830" s="27"/>
    </row>
    <row r="831" spans="1:6" x14ac:dyDescent="0.3">
      <c r="A831" s="27" t="s">
        <v>1270</v>
      </c>
      <c r="B831" s="27" t="s">
        <v>33</v>
      </c>
      <c r="C831">
        <v>5.34</v>
      </c>
      <c r="D831">
        <v>5.45</v>
      </c>
      <c r="E831" s="27" t="s">
        <v>1271</v>
      </c>
      <c r="F831" s="27"/>
    </row>
    <row r="832" spans="1:6" x14ac:dyDescent="0.3">
      <c r="A832" s="27" t="s">
        <v>1273</v>
      </c>
      <c r="B832" s="27" t="s">
        <v>11</v>
      </c>
      <c r="C832">
        <v>63.15</v>
      </c>
      <c r="D832">
        <v>64.45</v>
      </c>
      <c r="E832" s="27" t="s">
        <v>1271</v>
      </c>
      <c r="F832" s="27"/>
    </row>
    <row r="833" spans="1:6" x14ac:dyDescent="0.3">
      <c r="A833" s="27" t="s">
        <v>1235</v>
      </c>
      <c r="B833" s="27" t="s">
        <v>10</v>
      </c>
      <c r="C833">
        <v>167.65</v>
      </c>
      <c r="D833">
        <v>171.1</v>
      </c>
      <c r="E833" s="27" t="s">
        <v>1271</v>
      </c>
      <c r="F833" s="27"/>
    </row>
    <row r="834" spans="1:6" x14ac:dyDescent="0.3">
      <c r="A834" s="27" t="s">
        <v>1272</v>
      </c>
      <c r="B834" s="27" t="s">
        <v>35</v>
      </c>
      <c r="C834">
        <v>2.4300000000000002</v>
      </c>
      <c r="D834">
        <v>2.48</v>
      </c>
      <c r="E834" s="27" t="s">
        <v>1271</v>
      </c>
      <c r="F834" s="27"/>
    </row>
    <row r="835" spans="1:6" x14ac:dyDescent="0.3">
      <c r="A835" s="27" t="s">
        <v>1724</v>
      </c>
      <c r="B835" s="27" t="s">
        <v>11</v>
      </c>
      <c r="C835">
        <v>9.73</v>
      </c>
      <c r="D835">
        <v>9.93</v>
      </c>
      <c r="E835" s="27" t="s">
        <v>1271</v>
      </c>
      <c r="F835" s="27"/>
    </row>
    <row r="836" spans="1:6" x14ac:dyDescent="0.3">
      <c r="A836" s="27" t="s">
        <v>1279</v>
      </c>
      <c r="B836" s="27" t="s">
        <v>33</v>
      </c>
      <c r="C836">
        <v>39.1</v>
      </c>
      <c r="D836">
        <v>39.9</v>
      </c>
      <c r="E836" s="27" t="s">
        <v>1275</v>
      </c>
      <c r="F836" s="27"/>
    </row>
    <row r="837" spans="1:6" x14ac:dyDescent="0.3">
      <c r="A837" s="27" t="s">
        <v>1276</v>
      </c>
      <c r="B837" s="27" t="s">
        <v>11</v>
      </c>
      <c r="C837">
        <v>294.60000000000002</v>
      </c>
      <c r="D837">
        <v>300.64999999999998</v>
      </c>
      <c r="E837" s="27" t="s">
        <v>1275</v>
      </c>
      <c r="F837" s="27"/>
    </row>
    <row r="838" spans="1:6" x14ac:dyDescent="0.3">
      <c r="A838" s="27" t="s">
        <v>1207</v>
      </c>
      <c r="B838" s="27" t="s">
        <v>10</v>
      </c>
      <c r="C838">
        <v>75.599999999999994</v>
      </c>
      <c r="D838">
        <v>77.150000000000006</v>
      </c>
      <c r="E838" s="27" t="s">
        <v>1275</v>
      </c>
      <c r="F838" s="27"/>
    </row>
    <row r="839" spans="1:6" x14ac:dyDescent="0.3">
      <c r="A839" s="27" t="s">
        <v>1274</v>
      </c>
      <c r="B839" s="27" t="s">
        <v>11</v>
      </c>
      <c r="C839">
        <v>14.16</v>
      </c>
      <c r="D839">
        <v>14.45</v>
      </c>
      <c r="E839" s="27" t="s">
        <v>1275</v>
      </c>
      <c r="F839" s="27"/>
    </row>
    <row r="840" spans="1:6" x14ac:dyDescent="0.3">
      <c r="A840" s="27" t="s">
        <v>1282</v>
      </c>
      <c r="B840" s="27" t="s">
        <v>29</v>
      </c>
      <c r="C840">
        <v>2.94</v>
      </c>
      <c r="D840">
        <v>3</v>
      </c>
      <c r="E840" s="27" t="s">
        <v>1281</v>
      </c>
      <c r="F840" s="27"/>
    </row>
    <row r="841" spans="1:6" x14ac:dyDescent="0.3">
      <c r="A841" s="27" t="s">
        <v>1280</v>
      </c>
      <c r="B841" s="27" t="s">
        <v>328</v>
      </c>
      <c r="C841">
        <v>1.47</v>
      </c>
      <c r="D841">
        <v>1.5</v>
      </c>
      <c r="E841" s="27" t="s">
        <v>1281</v>
      </c>
      <c r="F841" s="27"/>
    </row>
    <row r="842" spans="1:6" x14ac:dyDescent="0.3">
      <c r="A842" s="27" t="s">
        <v>1287</v>
      </c>
      <c r="B842" s="27" t="s">
        <v>11</v>
      </c>
      <c r="C842">
        <v>686.1</v>
      </c>
      <c r="D842">
        <v>700</v>
      </c>
      <c r="E842" s="27" t="s">
        <v>1286</v>
      </c>
      <c r="F842" s="27"/>
    </row>
    <row r="843" spans="1:6" x14ac:dyDescent="0.3">
      <c r="A843" s="27" t="s">
        <v>1522</v>
      </c>
      <c r="B843" s="27" t="s">
        <v>33</v>
      </c>
      <c r="C843">
        <v>187.4</v>
      </c>
      <c r="D843">
        <v>191.2</v>
      </c>
      <c r="E843" s="27" t="s">
        <v>1286</v>
      </c>
      <c r="F843" s="27"/>
    </row>
    <row r="844" spans="1:6" x14ac:dyDescent="0.3">
      <c r="A844" s="27" t="s">
        <v>1288</v>
      </c>
      <c r="B844" s="27" t="s">
        <v>33</v>
      </c>
      <c r="C844">
        <v>22.15</v>
      </c>
      <c r="D844">
        <v>22.6</v>
      </c>
      <c r="E844" s="27" t="s">
        <v>1286</v>
      </c>
      <c r="F844" s="27"/>
    </row>
    <row r="845" spans="1:6" x14ac:dyDescent="0.3">
      <c r="A845" s="27" t="s">
        <v>1290</v>
      </c>
      <c r="B845" s="27" t="s">
        <v>10</v>
      </c>
      <c r="C845">
        <v>130.55000000000001</v>
      </c>
      <c r="D845">
        <v>133.19999999999999</v>
      </c>
      <c r="E845" s="27" t="s">
        <v>1286</v>
      </c>
      <c r="F845" s="27"/>
    </row>
    <row r="846" spans="1:6" x14ac:dyDescent="0.3">
      <c r="A846" s="27" t="s">
        <v>1376</v>
      </c>
      <c r="B846" s="27" t="s">
        <v>10</v>
      </c>
      <c r="C846">
        <v>996.8</v>
      </c>
      <c r="D846">
        <v>1017</v>
      </c>
      <c r="E846" s="27" t="s">
        <v>1286</v>
      </c>
      <c r="F846" s="27"/>
    </row>
    <row r="847" spans="1:6" x14ac:dyDescent="0.3">
      <c r="A847" s="27" t="s">
        <v>1285</v>
      </c>
      <c r="B847" s="27" t="s">
        <v>10</v>
      </c>
      <c r="C847">
        <v>1706.9</v>
      </c>
      <c r="D847">
        <v>1741.55</v>
      </c>
      <c r="E847" s="27" t="s">
        <v>1286</v>
      </c>
      <c r="F847" s="27"/>
    </row>
    <row r="848" spans="1:6" x14ac:dyDescent="0.3">
      <c r="A848" s="27" t="s">
        <v>1291</v>
      </c>
      <c r="B848" s="27" t="s">
        <v>11</v>
      </c>
      <c r="C848">
        <v>195.2</v>
      </c>
      <c r="D848">
        <v>199.15</v>
      </c>
      <c r="E848" s="27" t="s">
        <v>1292</v>
      </c>
      <c r="F848" s="27"/>
    </row>
    <row r="849" spans="1:6" x14ac:dyDescent="0.3">
      <c r="A849" s="27" t="s">
        <v>1298</v>
      </c>
      <c r="B849" s="27" t="s">
        <v>328</v>
      </c>
      <c r="C849">
        <v>74.5</v>
      </c>
      <c r="D849">
        <v>76</v>
      </c>
      <c r="E849" s="27" t="s">
        <v>1297</v>
      </c>
      <c r="F849" s="27"/>
    </row>
    <row r="850" spans="1:6" x14ac:dyDescent="0.3">
      <c r="A850" s="27" t="s">
        <v>1415</v>
      </c>
      <c r="B850" s="27" t="s">
        <v>10</v>
      </c>
      <c r="C850">
        <v>1066</v>
      </c>
      <c r="D850">
        <v>1087.4000000000001</v>
      </c>
      <c r="E850" s="27" t="s">
        <v>1297</v>
      </c>
      <c r="F850" s="27"/>
    </row>
    <row r="851" spans="1:6" x14ac:dyDescent="0.3">
      <c r="A851" s="27" t="s">
        <v>1303</v>
      </c>
      <c r="B851" s="27" t="s">
        <v>33</v>
      </c>
      <c r="C851">
        <v>17.5</v>
      </c>
      <c r="D851">
        <v>17.850000000000001</v>
      </c>
      <c r="E851" s="27" t="s">
        <v>1300</v>
      </c>
      <c r="F851" s="27"/>
    </row>
    <row r="852" spans="1:6" x14ac:dyDescent="0.3">
      <c r="A852" s="27" t="s">
        <v>1301</v>
      </c>
      <c r="B852" s="27" t="s">
        <v>328</v>
      </c>
      <c r="C852">
        <v>20</v>
      </c>
      <c r="D852">
        <v>20.399999999999999</v>
      </c>
      <c r="E852" s="27" t="s">
        <v>1300</v>
      </c>
      <c r="F852" s="27"/>
    </row>
    <row r="853" spans="1:6" x14ac:dyDescent="0.3">
      <c r="A853" s="27" t="s">
        <v>1299</v>
      </c>
      <c r="B853" s="27" t="s">
        <v>33</v>
      </c>
      <c r="C853">
        <v>247.8</v>
      </c>
      <c r="D853">
        <v>252.75</v>
      </c>
      <c r="E853" s="27" t="s">
        <v>1300</v>
      </c>
      <c r="F853" s="27"/>
    </row>
    <row r="854" spans="1:6" x14ac:dyDescent="0.3">
      <c r="A854" s="27" t="s">
        <v>1804</v>
      </c>
      <c r="B854" s="27" t="s">
        <v>11</v>
      </c>
      <c r="C854">
        <v>7.51</v>
      </c>
      <c r="D854">
        <v>7.66</v>
      </c>
      <c r="E854" s="27" t="s">
        <v>1300</v>
      </c>
      <c r="F854" s="27"/>
    </row>
    <row r="855" spans="1:6" x14ac:dyDescent="0.3">
      <c r="A855" s="27" t="s">
        <v>1245</v>
      </c>
      <c r="B855" s="27" t="s">
        <v>10</v>
      </c>
      <c r="C855">
        <v>339.7</v>
      </c>
      <c r="D855">
        <v>346.5</v>
      </c>
      <c r="E855" s="27" t="s">
        <v>1300</v>
      </c>
      <c r="F855" s="27"/>
    </row>
    <row r="856" spans="1:6" x14ac:dyDescent="0.3">
      <c r="A856" s="27" t="s">
        <v>1851</v>
      </c>
      <c r="B856" s="27" t="s">
        <v>35</v>
      </c>
      <c r="C856">
        <v>6</v>
      </c>
      <c r="D856">
        <v>6.12</v>
      </c>
      <c r="E856" s="27" t="s">
        <v>1300</v>
      </c>
      <c r="F856" s="27"/>
    </row>
    <row r="857" spans="1:6" x14ac:dyDescent="0.3">
      <c r="A857" s="27" t="s">
        <v>1304</v>
      </c>
      <c r="B857" s="27" t="s">
        <v>10</v>
      </c>
      <c r="C857">
        <v>37.450000000000003</v>
      </c>
      <c r="D857">
        <v>38.200000000000003</v>
      </c>
      <c r="E857" s="27" t="s">
        <v>1300</v>
      </c>
      <c r="F857" s="27"/>
    </row>
    <row r="858" spans="1:6" x14ac:dyDescent="0.3">
      <c r="A858" s="27" t="s">
        <v>1305</v>
      </c>
      <c r="B858" s="27" t="s">
        <v>33</v>
      </c>
      <c r="C858">
        <v>128</v>
      </c>
      <c r="D858">
        <v>130.55000000000001</v>
      </c>
      <c r="E858" s="27" t="s">
        <v>1306</v>
      </c>
      <c r="F858" s="27"/>
    </row>
    <row r="859" spans="1:6" x14ac:dyDescent="0.3">
      <c r="A859" s="27" t="s">
        <v>1309</v>
      </c>
      <c r="B859" s="27" t="s">
        <v>35</v>
      </c>
      <c r="C859">
        <v>3.01</v>
      </c>
      <c r="D859">
        <v>3.07</v>
      </c>
      <c r="E859" s="27" t="s">
        <v>1306</v>
      </c>
      <c r="F859" s="27"/>
    </row>
    <row r="860" spans="1:6" x14ac:dyDescent="0.3">
      <c r="A860" s="27" t="s">
        <v>1308</v>
      </c>
      <c r="B860" s="27" t="s">
        <v>29</v>
      </c>
      <c r="C860">
        <v>17.600000000000001</v>
      </c>
      <c r="D860">
        <v>17.95</v>
      </c>
      <c r="E860" s="27" t="s">
        <v>1306</v>
      </c>
      <c r="F860" s="27"/>
    </row>
    <row r="861" spans="1:6" x14ac:dyDescent="0.3">
      <c r="A861" s="27" t="s">
        <v>1420</v>
      </c>
      <c r="B861" s="27" t="s">
        <v>10</v>
      </c>
      <c r="C861">
        <v>248.25</v>
      </c>
      <c r="D861">
        <v>253.2</v>
      </c>
      <c r="E861" s="27" t="s">
        <v>1306</v>
      </c>
      <c r="F861" s="27"/>
    </row>
    <row r="862" spans="1:6" x14ac:dyDescent="0.3">
      <c r="A862" s="27" t="s">
        <v>1307</v>
      </c>
      <c r="B862" s="27" t="s">
        <v>11</v>
      </c>
      <c r="C862">
        <v>221.05</v>
      </c>
      <c r="D862">
        <v>225.45</v>
      </c>
      <c r="E862" s="27" t="s">
        <v>1306</v>
      </c>
      <c r="F862" s="27"/>
    </row>
    <row r="863" spans="1:6" x14ac:dyDescent="0.3">
      <c r="A863" s="27" t="s">
        <v>1312</v>
      </c>
      <c r="B863" s="27" t="s">
        <v>328</v>
      </c>
      <c r="C863">
        <v>376.7</v>
      </c>
      <c r="D863">
        <v>384.2</v>
      </c>
      <c r="E863" s="27" t="s">
        <v>1306</v>
      </c>
      <c r="F863" s="27"/>
    </row>
    <row r="864" spans="1:6" x14ac:dyDescent="0.3">
      <c r="A864" s="27" t="s">
        <v>1311</v>
      </c>
      <c r="B864" s="27" t="s">
        <v>33</v>
      </c>
      <c r="C864">
        <v>32.6</v>
      </c>
      <c r="D864">
        <v>33.25</v>
      </c>
      <c r="E864" s="27" t="s">
        <v>1306</v>
      </c>
      <c r="F864" s="27"/>
    </row>
    <row r="865" spans="1:6" x14ac:dyDescent="0.3">
      <c r="A865" s="27" t="s">
        <v>1310</v>
      </c>
      <c r="B865" s="27" t="s">
        <v>33</v>
      </c>
      <c r="C865">
        <v>198.85</v>
      </c>
      <c r="D865">
        <v>202.8</v>
      </c>
      <c r="E865" s="27" t="s">
        <v>1306</v>
      </c>
      <c r="F865" s="27"/>
    </row>
    <row r="866" spans="1:6" x14ac:dyDescent="0.3">
      <c r="A866" s="27" t="s">
        <v>1315</v>
      </c>
      <c r="B866" s="27" t="s">
        <v>33</v>
      </c>
      <c r="C866">
        <v>164.15</v>
      </c>
      <c r="D866">
        <v>167.4</v>
      </c>
      <c r="E866" s="27" t="s">
        <v>1314</v>
      </c>
      <c r="F866" s="27"/>
    </row>
    <row r="867" spans="1:6" x14ac:dyDescent="0.3">
      <c r="A867" s="27" t="s">
        <v>3364</v>
      </c>
      <c r="B867" s="27" t="s">
        <v>328</v>
      </c>
      <c r="C867">
        <v>93.2</v>
      </c>
      <c r="D867">
        <v>95.05</v>
      </c>
      <c r="E867" s="27" t="s">
        <v>1314</v>
      </c>
      <c r="F867" s="27"/>
    </row>
    <row r="868" spans="1:6" x14ac:dyDescent="0.3">
      <c r="A868" s="27" t="s">
        <v>1313</v>
      </c>
      <c r="B868" s="27" t="s">
        <v>328</v>
      </c>
      <c r="C868">
        <v>166.45</v>
      </c>
      <c r="D868">
        <v>169.75</v>
      </c>
      <c r="E868" s="27" t="s">
        <v>1314</v>
      </c>
      <c r="F868" s="27"/>
    </row>
    <row r="869" spans="1:6" x14ac:dyDescent="0.3">
      <c r="A869" s="27" t="s">
        <v>1316</v>
      </c>
      <c r="B869" s="27" t="s">
        <v>33</v>
      </c>
      <c r="C869">
        <v>1166.95</v>
      </c>
      <c r="D869">
        <v>1190</v>
      </c>
      <c r="E869" s="27" t="s">
        <v>1314</v>
      </c>
      <c r="F869" s="27"/>
    </row>
    <row r="870" spans="1:6" x14ac:dyDescent="0.3">
      <c r="A870" s="27" t="s">
        <v>1210</v>
      </c>
      <c r="B870" s="27" t="s">
        <v>10</v>
      </c>
      <c r="C870">
        <v>131.55000000000001</v>
      </c>
      <c r="D870">
        <v>134.15</v>
      </c>
      <c r="E870" s="27" t="s">
        <v>1314</v>
      </c>
      <c r="F870" s="27"/>
    </row>
    <row r="871" spans="1:6" x14ac:dyDescent="0.3">
      <c r="A871" s="27" t="s">
        <v>1317</v>
      </c>
      <c r="B871" s="27" t="s">
        <v>33</v>
      </c>
      <c r="C871">
        <v>103.5</v>
      </c>
      <c r="D871">
        <v>105.55</v>
      </c>
      <c r="E871" s="27" t="s">
        <v>1314</v>
      </c>
      <c r="F871" s="27"/>
    </row>
    <row r="872" spans="1:6" x14ac:dyDescent="0.3">
      <c r="A872" s="27" t="s">
        <v>1324</v>
      </c>
      <c r="B872" s="27" t="s">
        <v>33</v>
      </c>
      <c r="C872">
        <v>22.85</v>
      </c>
      <c r="D872">
        <v>23.3</v>
      </c>
      <c r="E872" s="27" t="s">
        <v>1320</v>
      </c>
      <c r="F872" s="27"/>
    </row>
    <row r="873" spans="1:6" x14ac:dyDescent="0.3">
      <c r="A873" s="27" t="s">
        <v>1325</v>
      </c>
      <c r="B873" s="27" t="s">
        <v>11</v>
      </c>
      <c r="C873">
        <v>132</v>
      </c>
      <c r="D873">
        <v>134.6</v>
      </c>
      <c r="E873" s="27" t="s">
        <v>1320</v>
      </c>
      <c r="F873" s="27"/>
    </row>
    <row r="874" spans="1:6" x14ac:dyDescent="0.3">
      <c r="A874" s="27" t="s">
        <v>1327</v>
      </c>
      <c r="B874" s="27" t="s">
        <v>328</v>
      </c>
      <c r="C874">
        <v>5.08</v>
      </c>
      <c r="D874">
        <v>5.18</v>
      </c>
      <c r="E874" s="27" t="s">
        <v>1320</v>
      </c>
      <c r="F874" s="27"/>
    </row>
    <row r="875" spans="1:6" x14ac:dyDescent="0.3">
      <c r="A875" s="27" t="s">
        <v>1322</v>
      </c>
      <c r="B875" s="27" t="s">
        <v>328</v>
      </c>
      <c r="C875">
        <v>86.3</v>
      </c>
      <c r="D875">
        <v>88</v>
      </c>
      <c r="E875" s="27" t="s">
        <v>1320</v>
      </c>
      <c r="F875" s="27"/>
    </row>
    <row r="876" spans="1:6" x14ac:dyDescent="0.3">
      <c r="A876" s="27" t="s">
        <v>1319</v>
      </c>
      <c r="B876" s="27" t="s">
        <v>11</v>
      </c>
      <c r="C876">
        <v>45.7</v>
      </c>
      <c r="D876">
        <v>46.6</v>
      </c>
      <c r="E876" s="27" t="s">
        <v>1320</v>
      </c>
      <c r="F876" s="27"/>
    </row>
    <row r="877" spans="1:6" x14ac:dyDescent="0.3">
      <c r="A877" s="27" t="s">
        <v>1323</v>
      </c>
      <c r="B877" s="27" t="s">
        <v>22</v>
      </c>
      <c r="C877">
        <v>86.5</v>
      </c>
      <c r="D877">
        <v>88.2</v>
      </c>
      <c r="E877" s="27" t="s">
        <v>1320</v>
      </c>
      <c r="F877" s="27"/>
    </row>
    <row r="878" spans="1:6" x14ac:dyDescent="0.3">
      <c r="A878" s="27" t="s">
        <v>1462</v>
      </c>
      <c r="B878" s="27" t="s">
        <v>10</v>
      </c>
      <c r="C878">
        <v>244.05</v>
      </c>
      <c r="D878">
        <v>248.85</v>
      </c>
      <c r="E878" s="27" t="s">
        <v>1320</v>
      </c>
      <c r="F878" s="27"/>
    </row>
    <row r="879" spans="1:6" x14ac:dyDescent="0.3">
      <c r="A879" s="27" t="s">
        <v>1321</v>
      </c>
      <c r="B879" s="27" t="s">
        <v>33</v>
      </c>
      <c r="C879">
        <v>14.21</v>
      </c>
      <c r="D879">
        <v>14.49</v>
      </c>
      <c r="E879" s="27" t="s">
        <v>1320</v>
      </c>
      <c r="F879" s="27"/>
    </row>
    <row r="880" spans="1:6" x14ac:dyDescent="0.3">
      <c r="A880" s="27" t="s">
        <v>1330</v>
      </c>
      <c r="B880" s="27" t="s">
        <v>33</v>
      </c>
      <c r="C880">
        <v>9.7100000000000009</v>
      </c>
      <c r="D880">
        <v>9.9</v>
      </c>
      <c r="E880" s="27" t="s">
        <v>1329</v>
      </c>
      <c r="F880" s="27"/>
    </row>
    <row r="881" spans="1:6" x14ac:dyDescent="0.3">
      <c r="A881" s="27" t="s">
        <v>1328</v>
      </c>
      <c r="B881" s="27" t="s">
        <v>10</v>
      </c>
      <c r="C881">
        <v>73.8</v>
      </c>
      <c r="D881">
        <v>75.25</v>
      </c>
      <c r="E881" s="27" t="s">
        <v>1329</v>
      </c>
      <c r="F881" s="27"/>
    </row>
    <row r="882" spans="1:6" x14ac:dyDescent="0.3">
      <c r="A882" s="27" t="s">
        <v>1338</v>
      </c>
      <c r="B882" s="27" t="s">
        <v>328</v>
      </c>
      <c r="C882">
        <v>99.75</v>
      </c>
      <c r="D882">
        <v>101.7</v>
      </c>
      <c r="E882" s="27" t="s">
        <v>1332</v>
      </c>
      <c r="F882" s="27"/>
    </row>
    <row r="883" spans="1:6" x14ac:dyDescent="0.3">
      <c r="A883" s="27" t="s">
        <v>1335</v>
      </c>
      <c r="B883" s="27" t="s">
        <v>328</v>
      </c>
      <c r="C883">
        <v>10.25</v>
      </c>
      <c r="D883">
        <v>10.45</v>
      </c>
      <c r="E883" s="27" t="s">
        <v>1332</v>
      </c>
      <c r="F883" s="27"/>
    </row>
    <row r="884" spans="1:6" x14ac:dyDescent="0.3">
      <c r="A884" s="27" t="s">
        <v>1333</v>
      </c>
      <c r="B884" s="27" t="s">
        <v>33</v>
      </c>
      <c r="C884">
        <v>2.0499999999999998</v>
      </c>
      <c r="D884">
        <v>2.09</v>
      </c>
      <c r="E884" s="27" t="s">
        <v>1332</v>
      </c>
      <c r="F884" s="27"/>
    </row>
    <row r="885" spans="1:6" x14ac:dyDescent="0.3">
      <c r="A885" s="27" t="s">
        <v>1337</v>
      </c>
      <c r="B885" s="27" t="s">
        <v>29</v>
      </c>
      <c r="C885">
        <v>207.95</v>
      </c>
      <c r="D885">
        <v>212</v>
      </c>
      <c r="E885" s="27" t="s">
        <v>1332</v>
      </c>
      <c r="F885" s="27"/>
    </row>
    <row r="886" spans="1:6" x14ac:dyDescent="0.3">
      <c r="A886" s="27" t="s">
        <v>1339</v>
      </c>
      <c r="B886" s="27" t="s">
        <v>33</v>
      </c>
      <c r="C886">
        <v>12.85</v>
      </c>
      <c r="D886">
        <v>13.1</v>
      </c>
      <c r="E886" s="27" t="s">
        <v>1332</v>
      </c>
      <c r="F886" s="27"/>
    </row>
    <row r="887" spans="1:6" x14ac:dyDescent="0.3">
      <c r="A887" s="27" t="s">
        <v>1234</v>
      </c>
      <c r="B887" s="27" t="s">
        <v>33</v>
      </c>
      <c r="C887">
        <v>23.1</v>
      </c>
      <c r="D887">
        <v>23.55</v>
      </c>
      <c r="E887" s="27" t="s">
        <v>1332</v>
      </c>
      <c r="F887" s="27"/>
    </row>
    <row r="888" spans="1:6" x14ac:dyDescent="0.3">
      <c r="A888" s="27" t="s">
        <v>1334</v>
      </c>
      <c r="B888" s="27" t="s">
        <v>29</v>
      </c>
      <c r="C888">
        <v>53.9</v>
      </c>
      <c r="D888">
        <v>54.95</v>
      </c>
      <c r="E888" s="27" t="s">
        <v>1332</v>
      </c>
      <c r="F888" s="27"/>
    </row>
    <row r="889" spans="1:6" x14ac:dyDescent="0.3">
      <c r="A889" s="27" t="s">
        <v>1336</v>
      </c>
      <c r="B889" s="27" t="s">
        <v>328</v>
      </c>
      <c r="C889">
        <v>12.3</v>
      </c>
      <c r="D889">
        <v>12.54</v>
      </c>
      <c r="E889" s="27" t="s">
        <v>1332</v>
      </c>
      <c r="F889" s="27"/>
    </row>
    <row r="890" spans="1:6" x14ac:dyDescent="0.3">
      <c r="A890" s="27" t="s">
        <v>1331</v>
      </c>
      <c r="B890" s="27" t="s">
        <v>29</v>
      </c>
      <c r="C890">
        <v>79.400000000000006</v>
      </c>
      <c r="D890">
        <v>80.95</v>
      </c>
      <c r="E890" s="27" t="s">
        <v>1332</v>
      </c>
      <c r="F890" s="27"/>
    </row>
    <row r="891" spans="1:6" x14ac:dyDescent="0.3">
      <c r="A891" s="27" t="s">
        <v>1349</v>
      </c>
      <c r="B891" s="27" t="s">
        <v>33</v>
      </c>
      <c r="C891">
        <v>33.5</v>
      </c>
      <c r="D891">
        <v>34.15</v>
      </c>
      <c r="E891" s="27" t="s">
        <v>1341</v>
      </c>
      <c r="F891" s="27"/>
    </row>
    <row r="892" spans="1:6" x14ac:dyDescent="0.3">
      <c r="A892" s="27" t="s">
        <v>1348</v>
      </c>
      <c r="B892" s="27" t="s">
        <v>328</v>
      </c>
      <c r="C892">
        <v>8.23</v>
      </c>
      <c r="D892">
        <v>8.39</v>
      </c>
      <c r="E892" s="27" t="s">
        <v>1341</v>
      </c>
      <c r="F892" s="27"/>
    </row>
    <row r="893" spans="1:6" x14ac:dyDescent="0.3">
      <c r="A893" s="27" t="s">
        <v>1346</v>
      </c>
      <c r="B893" s="27" t="s">
        <v>33</v>
      </c>
      <c r="C893">
        <v>18.05</v>
      </c>
      <c r="D893">
        <v>18.399999999999999</v>
      </c>
      <c r="E893" s="27" t="s">
        <v>1341</v>
      </c>
      <c r="F893" s="27"/>
    </row>
    <row r="894" spans="1:6" x14ac:dyDescent="0.3">
      <c r="A894" s="27" t="s">
        <v>1344</v>
      </c>
      <c r="B894" s="27" t="s">
        <v>328</v>
      </c>
      <c r="C894">
        <v>14.41</v>
      </c>
      <c r="D894">
        <v>14.69</v>
      </c>
      <c r="E894" s="27" t="s">
        <v>1341</v>
      </c>
      <c r="F894" s="27"/>
    </row>
    <row r="895" spans="1:6" x14ac:dyDescent="0.3">
      <c r="A895" s="27" t="s">
        <v>1353</v>
      </c>
      <c r="B895" s="27" t="s">
        <v>10</v>
      </c>
      <c r="C895">
        <v>1621.7</v>
      </c>
      <c r="D895">
        <v>1653.15</v>
      </c>
      <c r="E895" s="27" t="s">
        <v>1341</v>
      </c>
      <c r="F895" s="27"/>
    </row>
    <row r="896" spans="1:6" x14ac:dyDescent="0.3">
      <c r="A896" s="27" t="s">
        <v>1340</v>
      </c>
      <c r="B896" s="27" t="s">
        <v>328</v>
      </c>
      <c r="C896">
        <v>4.13</v>
      </c>
      <c r="D896">
        <v>4.21</v>
      </c>
      <c r="E896" s="27" t="s">
        <v>1341</v>
      </c>
      <c r="F896" s="27"/>
    </row>
    <row r="897" spans="1:6" x14ac:dyDescent="0.3">
      <c r="A897" s="27" t="s">
        <v>1152</v>
      </c>
      <c r="B897" s="27" t="s">
        <v>11</v>
      </c>
      <c r="C897">
        <v>609.79999999999995</v>
      </c>
      <c r="D897">
        <v>621.6</v>
      </c>
      <c r="E897" s="27" t="s">
        <v>1341</v>
      </c>
      <c r="F897" s="27"/>
    </row>
    <row r="898" spans="1:6" x14ac:dyDescent="0.3">
      <c r="A898" s="27" t="s">
        <v>1343</v>
      </c>
      <c r="B898" s="27" t="s">
        <v>33</v>
      </c>
      <c r="C898">
        <v>13.93</v>
      </c>
      <c r="D898">
        <v>14.2</v>
      </c>
      <c r="E898" s="27" t="s">
        <v>1341</v>
      </c>
      <c r="F898" s="27"/>
    </row>
    <row r="899" spans="1:6" x14ac:dyDescent="0.3">
      <c r="A899" s="27" t="s">
        <v>1347</v>
      </c>
      <c r="B899" s="27" t="s">
        <v>11</v>
      </c>
      <c r="C899">
        <v>7.21</v>
      </c>
      <c r="D899">
        <v>7.35</v>
      </c>
      <c r="E899" s="27" t="s">
        <v>1341</v>
      </c>
      <c r="F899" s="27"/>
    </row>
    <row r="900" spans="1:6" x14ac:dyDescent="0.3">
      <c r="A900" s="27" t="s">
        <v>1345</v>
      </c>
      <c r="B900" s="27" t="s">
        <v>328</v>
      </c>
      <c r="C900">
        <v>10.81</v>
      </c>
      <c r="D900">
        <v>11.02</v>
      </c>
      <c r="E900" s="27" t="s">
        <v>1341</v>
      </c>
      <c r="F900" s="27"/>
    </row>
    <row r="901" spans="1:6" x14ac:dyDescent="0.3">
      <c r="A901" s="27" t="s">
        <v>1350</v>
      </c>
      <c r="B901" s="27" t="s">
        <v>328</v>
      </c>
      <c r="C901">
        <v>59.55</v>
      </c>
      <c r="D901">
        <v>60.7</v>
      </c>
      <c r="E901" s="27" t="s">
        <v>1351</v>
      </c>
      <c r="F901" s="27"/>
    </row>
    <row r="902" spans="1:6" x14ac:dyDescent="0.3">
      <c r="A902" s="27" t="s">
        <v>1352</v>
      </c>
      <c r="B902" s="27" t="s">
        <v>11</v>
      </c>
      <c r="C902">
        <v>257.10000000000002</v>
      </c>
      <c r="D902">
        <v>262.05</v>
      </c>
      <c r="E902" s="27" t="s">
        <v>1351</v>
      </c>
      <c r="F902" s="27"/>
    </row>
    <row r="903" spans="1:6" x14ac:dyDescent="0.3">
      <c r="A903" s="27" t="s">
        <v>1233</v>
      </c>
      <c r="B903" s="27" t="s">
        <v>10</v>
      </c>
      <c r="C903">
        <v>106.4</v>
      </c>
      <c r="D903">
        <v>108.45</v>
      </c>
      <c r="E903" s="27" t="s">
        <v>1351</v>
      </c>
      <c r="F903" s="27"/>
    </row>
    <row r="904" spans="1:6" x14ac:dyDescent="0.3">
      <c r="A904" s="27" t="s">
        <v>1356</v>
      </c>
      <c r="B904" s="27" t="s">
        <v>33</v>
      </c>
      <c r="C904">
        <v>46.9</v>
      </c>
      <c r="D904">
        <v>47.8</v>
      </c>
      <c r="E904" s="27" t="s">
        <v>1355</v>
      </c>
      <c r="F904" s="27"/>
    </row>
    <row r="905" spans="1:6" x14ac:dyDescent="0.3">
      <c r="A905" s="27" t="s">
        <v>1357</v>
      </c>
      <c r="B905" s="27" t="s">
        <v>11</v>
      </c>
      <c r="C905">
        <v>20.85</v>
      </c>
      <c r="D905">
        <v>21.25</v>
      </c>
      <c r="E905" s="27" t="s">
        <v>1355</v>
      </c>
      <c r="F905" s="27"/>
    </row>
    <row r="906" spans="1:6" x14ac:dyDescent="0.3">
      <c r="A906" s="27" t="s">
        <v>1168</v>
      </c>
      <c r="B906" s="27" t="s">
        <v>10</v>
      </c>
      <c r="C906">
        <v>150.9</v>
      </c>
      <c r="D906">
        <v>153.80000000000001</v>
      </c>
      <c r="E906" s="27" t="s">
        <v>1355</v>
      </c>
      <c r="F906" s="27"/>
    </row>
    <row r="907" spans="1:6" x14ac:dyDescent="0.3">
      <c r="A907" s="27" t="s">
        <v>1510</v>
      </c>
      <c r="B907" s="27" t="s">
        <v>10</v>
      </c>
      <c r="C907">
        <v>59.95</v>
      </c>
      <c r="D907">
        <v>61.1</v>
      </c>
      <c r="E907" s="27" t="s">
        <v>1355</v>
      </c>
      <c r="F907" s="27"/>
    </row>
    <row r="908" spans="1:6" x14ac:dyDescent="0.3">
      <c r="A908" s="27" t="s">
        <v>1241</v>
      </c>
      <c r="B908" s="27" t="s">
        <v>10</v>
      </c>
      <c r="C908">
        <v>324.75</v>
      </c>
      <c r="D908">
        <v>331</v>
      </c>
      <c r="E908" s="27" t="s">
        <v>1355</v>
      </c>
      <c r="F908" s="27"/>
    </row>
    <row r="909" spans="1:6" x14ac:dyDescent="0.3">
      <c r="A909" s="27" t="s">
        <v>1216</v>
      </c>
      <c r="B909" s="27" t="s">
        <v>11</v>
      </c>
      <c r="C909">
        <v>49.55</v>
      </c>
      <c r="D909">
        <v>50.5</v>
      </c>
      <c r="E909" s="27" t="s">
        <v>1355</v>
      </c>
      <c r="F909" s="27"/>
    </row>
    <row r="910" spans="1:6" x14ac:dyDescent="0.3">
      <c r="A910" s="27" t="s">
        <v>1358</v>
      </c>
      <c r="B910" s="27" t="s">
        <v>22</v>
      </c>
      <c r="C910">
        <v>46.85</v>
      </c>
      <c r="D910">
        <v>47.75</v>
      </c>
      <c r="E910" s="27" t="s">
        <v>1355</v>
      </c>
      <c r="F910" s="27"/>
    </row>
    <row r="911" spans="1:6" x14ac:dyDescent="0.3">
      <c r="A911" s="27" t="s">
        <v>1361</v>
      </c>
      <c r="B911" s="27" t="s">
        <v>35</v>
      </c>
      <c r="C911">
        <v>6.8</v>
      </c>
      <c r="D911">
        <v>6.93</v>
      </c>
      <c r="E911" s="27" t="s">
        <v>1360</v>
      </c>
      <c r="F911" s="27"/>
    </row>
    <row r="912" spans="1:6" x14ac:dyDescent="0.3">
      <c r="A912" s="27" t="s">
        <v>1369</v>
      </c>
      <c r="B912" s="27" t="s">
        <v>33</v>
      </c>
      <c r="C912">
        <v>20.95</v>
      </c>
      <c r="D912">
        <v>21.35</v>
      </c>
      <c r="E912" s="27" t="s">
        <v>1360</v>
      </c>
      <c r="F912" s="27"/>
    </row>
    <row r="913" spans="1:6" x14ac:dyDescent="0.3">
      <c r="A913" s="27" t="s">
        <v>1370</v>
      </c>
      <c r="B913" s="27" t="s">
        <v>10</v>
      </c>
      <c r="C913">
        <v>23.55</v>
      </c>
      <c r="D913">
        <v>24</v>
      </c>
      <c r="E913" s="27" t="s">
        <v>1360</v>
      </c>
      <c r="F913" s="27"/>
    </row>
    <row r="914" spans="1:6" x14ac:dyDescent="0.3">
      <c r="A914" s="27" t="s">
        <v>1368</v>
      </c>
      <c r="B914" s="27" t="s">
        <v>328</v>
      </c>
      <c r="C914">
        <v>9.94</v>
      </c>
      <c r="D914">
        <v>10.130000000000001</v>
      </c>
      <c r="E914" s="27" t="s">
        <v>1360</v>
      </c>
      <c r="F914" s="27"/>
    </row>
    <row r="915" spans="1:6" x14ac:dyDescent="0.3">
      <c r="A915" s="27" t="s">
        <v>1365</v>
      </c>
      <c r="B915" s="27" t="s">
        <v>33</v>
      </c>
      <c r="C915">
        <v>1952.65</v>
      </c>
      <c r="D915">
        <v>1990</v>
      </c>
      <c r="E915" s="27" t="s">
        <v>1360</v>
      </c>
      <c r="F915" s="27"/>
    </row>
    <row r="916" spans="1:6" x14ac:dyDescent="0.3">
      <c r="A916" s="27" t="s">
        <v>1363</v>
      </c>
      <c r="B916" s="27" t="s">
        <v>33</v>
      </c>
      <c r="C916">
        <v>10.98</v>
      </c>
      <c r="D916">
        <v>11.19</v>
      </c>
      <c r="E916" s="27" t="s">
        <v>1360</v>
      </c>
      <c r="F916" s="27"/>
    </row>
    <row r="917" spans="1:6" x14ac:dyDescent="0.3">
      <c r="A917" s="27" t="s">
        <v>1367</v>
      </c>
      <c r="B917" s="27" t="s">
        <v>33</v>
      </c>
      <c r="C917">
        <v>3.14</v>
      </c>
      <c r="D917">
        <v>3.2</v>
      </c>
      <c r="E917" s="27" t="s">
        <v>1360</v>
      </c>
      <c r="F917" s="27"/>
    </row>
    <row r="918" spans="1:6" x14ac:dyDescent="0.3">
      <c r="A918" s="27" t="s">
        <v>1359</v>
      </c>
      <c r="B918" s="27" t="s">
        <v>33</v>
      </c>
      <c r="C918">
        <v>10.99</v>
      </c>
      <c r="D918">
        <v>11.2</v>
      </c>
      <c r="E918" s="27" t="s">
        <v>1360</v>
      </c>
      <c r="F918" s="27"/>
    </row>
    <row r="919" spans="1:6" x14ac:dyDescent="0.3">
      <c r="A919" s="27" t="s">
        <v>1430</v>
      </c>
      <c r="B919" s="27" t="s">
        <v>10</v>
      </c>
      <c r="C919">
        <v>97.2</v>
      </c>
      <c r="D919">
        <v>99.05</v>
      </c>
      <c r="E919" s="27" t="s">
        <v>1372</v>
      </c>
      <c r="F919" s="27"/>
    </row>
    <row r="920" spans="1:6" x14ac:dyDescent="0.3">
      <c r="A920" s="27" t="s">
        <v>1375</v>
      </c>
      <c r="B920" s="27" t="s">
        <v>10</v>
      </c>
      <c r="C920">
        <v>28.95</v>
      </c>
      <c r="D920">
        <v>29.5</v>
      </c>
      <c r="E920" s="27" t="s">
        <v>1372</v>
      </c>
      <c r="F920" s="27"/>
    </row>
    <row r="921" spans="1:6" x14ac:dyDescent="0.3">
      <c r="A921" s="27" t="s">
        <v>1374</v>
      </c>
      <c r="B921" s="27" t="s">
        <v>328</v>
      </c>
      <c r="C921">
        <v>2.1</v>
      </c>
      <c r="D921">
        <v>2.14</v>
      </c>
      <c r="E921" s="27" t="s">
        <v>1372</v>
      </c>
      <c r="F921" s="27"/>
    </row>
    <row r="922" spans="1:6" x14ac:dyDescent="0.3">
      <c r="A922" s="27" t="s">
        <v>1373</v>
      </c>
      <c r="B922" s="27" t="s">
        <v>33</v>
      </c>
      <c r="C922">
        <v>81.75</v>
      </c>
      <c r="D922">
        <v>83.3</v>
      </c>
      <c r="E922" s="27" t="s">
        <v>1372</v>
      </c>
      <c r="F922" s="27"/>
    </row>
    <row r="923" spans="1:6" x14ac:dyDescent="0.3">
      <c r="A923" s="27" t="s">
        <v>1392</v>
      </c>
      <c r="B923" s="27" t="s">
        <v>10</v>
      </c>
      <c r="C923">
        <v>173.6</v>
      </c>
      <c r="D923">
        <v>176.9</v>
      </c>
      <c r="E923" s="27" t="s">
        <v>1372</v>
      </c>
      <c r="F923" s="27"/>
    </row>
    <row r="924" spans="1:6" x14ac:dyDescent="0.3">
      <c r="A924" s="27" t="s">
        <v>1371</v>
      </c>
      <c r="B924" s="27" t="s">
        <v>10</v>
      </c>
      <c r="C924">
        <v>203.15</v>
      </c>
      <c r="D924">
        <v>207</v>
      </c>
      <c r="E924" s="27" t="s">
        <v>1372</v>
      </c>
      <c r="F924" s="27"/>
    </row>
    <row r="925" spans="1:6" x14ac:dyDescent="0.3">
      <c r="A925" s="27" t="s">
        <v>1449</v>
      </c>
      <c r="B925" s="27" t="s">
        <v>10</v>
      </c>
      <c r="C925">
        <v>401.15</v>
      </c>
      <c r="D925">
        <v>408.75</v>
      </c>
      <c r="E925" s="27" t="s">
        <v>1378</v>
      </c>
      <c r="F925" s="27"/>
    </row>
    <row r="926" spans="1:6" x14ac:dyDescent="0.3">
      <c r="A926" s="27" t="s">
        <v>2260</v>
      </c>
      <c r="B926" s="27" t="s">
        <v>11</v>
      </c>
      <c r="C926">
        <v>18.5</v>
      </c>
      <c r="D926">
        <v>18.850000000000001</v>
      </c>
      <c r="E926" s="27" t="s">
        <v>1378</v>
      </c>
      <c r="F926" s="27"/>
    </row>
    <row r="927" spans="1:6" x14ac:dyDescent="0.3">
      <c r="A927" s="27" t="s">
        <v>1380</v>
      </c>
      <c r="B927" s="27" t="s">
        <v>33</v>
      </c>
      <c r="C927">
        <v>6.35</v>
      </c>
      <c r="D927">
        <v>6.47</v>
      </c>
      <c r="E927" s="27" t="s">
        <v>1378</v>
      </c>
      <c r="F927" s="27"/>
    </row>
    <row r="928" spans="1:6" x14ac:dyDescent="0.3">
      <c r="A928" s="27" t="s">
        <v>1381</v>
      </c>
      <c r="B928" s="27" t="s">
        <v>33</v>
      </c>
      <c r="C928">
        <v>6.87</v>
      </c>
      <c r="D928">
        <v>7</v>
      </c>
      <c r="E928" s="27" t="s">
        <v>1378</v>
      </c>
      <c r="F928" s="27"/>
    </row>
    <row r="929" spans="1:6" x14ac:dyDescent="0.3">
      <c r="A929" s="27" t="s">
        <v>1377</v>
      </c>
      <c r="B929" s="27" t="s">
        <v>328</v>
      </c>
      <c r="C929">
        <v>5.28</v>
      </c>
      <c r="D929">
        <v>5.38</v>
      </c>
      <c r="E929" s="27" t="s">
        <v>1378</v>
      </c>
      <c r="F929" s="27"/>
    </row>
    <row r="930" spans="1:6" x14ac:dyDescent="0.3">
      <c r="A930" s="27" t="s">
        <v>1379</v>
      </c>
      <c r="B930" s="27" t="s">
        <v>328</v>
      </c>
      <c r="C930">
        <v>2.65</v>
      </c>
      <c r="D930">
        <v>2.7</v>
      </c>
      <c r="E930" s="27" t="s">
        <v>1378</v>
      </c>
      <c r="F930" s="27"/>
    </row>
    <row r="931" spans="1:6" x14ac:dyDescent="0.3">
      <c r="A931" s="27" t="s">
        <v>1444</v>
      </c>
      <c r="B931" s="27" t="s">
        <v>10</v>
      </c>
      <c r="C931">
        <v>1383.8</v>
      </c>
      <c r="D931">
        <v>1409.8</v>
      </c>
      <c r="E931" s="27" t="s">
        <v>1383</v>
      </c>
      <c r="F931" s="27"/>
    </row>
    <row r="932" spans="1:6" x14ac:dyDescent="0.3">
      <c r="A932" s="27" t="s">
        <v>1384</v>
      </c>
      <c r="B932" s="27" t="s">
        <v>11</v>
      </c>
      <c r="C932">
        <v>24</v>
      </c>
      <c r="D932">
        <v>24.45</v>
      </c>
      <c r="E932" s="27" t="s">
        <v>1383</v>
      </c>
      <c r="F932" s="27"/>
    </row>
    <row r="933" spans="1:6" x14ac:dyDescent="0.3">
      <c r="A933" s="27" t="s">
        <v>1386</v>
      </c>
      <c r="B933" s="27" t="s">
        <v>11</v>
      </c>
      <c r="C933">
        <v>93.1</v>
      </c>
      <c r="D933">
        <v>94.85</v>
      </c>
      <c r="E933" s="27" t="s">
        <v>1383</v>
      </c>
      <c r="F933" s="27"/>
    </row>
    <row r="934" spans="1:6" x14ac:dyDescent="0.3">
      <c r="A934" s="27" t="s">
        <v>1382</v>
      </c>
      <c r="B934" s="27" t="s">
        <v>10</v>
      </c>
      <c r="C934">
        <v>313.10000000000002</v>
      </c>
      <c r="D934">
        <v>319</v>
      </c>
      <c r="E934" s="27" t="s">
        <v>1383</v>
      </c>
      <c r="F934" s="27"/>
    </row>
    <row r="935" spans="1:6" x14ac:dyDescent="0.3">
      <c r="A935" s="27" t="s">
        <v>1385</v>
      </c>
      <c r="B935" s="27" t="s">
        <v>29</v>
      </c>
      <c r="C935">
        <v>21.25</v>
      </c>
      <c r="D935">
        <v>21.65</v>
      </c>
      <c r="E935" s="27" t="s">
        <v>1383</v>
      </c>
      <c r="F935" s="27"/>
    </row>
    <row r="936" spans="1:6" x14ac:dyDescent="0.3">
      <c r="A936" s="27" t="s">
        <v>1390</v>
      </c>
      <c r="B936" s="27" t="s">
        <v>25</v>
      </c>
      <c r="C936">
        <v>21.35</v>
      </c>
      <c r="D936">
        <v>21.75</v>
      </c>
      <c r="E936" s="27" t="s">
        <v>1388</v>
      </c>
      <c r="F936" s="27"/>
    </row>
    <row r="937" spans="1:6" x14ac:dyDescent="0.3">
      <c r="A937" s="27" t="s">
        <v>1395</v>
      </c>
      <c r="B937" s="27" t="s">
        <v>328</v>
      </c>
      <c r="C937">
        <v>26.8</v>
      </c>
      <c r="D937">
        <v>27.3</v>
      </c>
      <c r="E937" s="27" t="s">
        <v>1388</v>
      </c>
      <c r="F937" s="27"/>
    </row>
    <row r="938" spans="1:6" x14ac:dyDescent="0.3">
      <c r="A938" s="27" t="s">
        <v>1393</v>
      </c>
      <c r="B938" s="27" t="s">
        <v>33</v>
      </c>
      <c r="C938">
        <v>1.07</v>
      </c>
      <c r="D938">
        <v>1.0900000000000001</v>
      </c>
      <c r="E938" s="27" t="s">
        <v>1388</v>
      </c>
      <c r="F938" s="27"/>
    </row>
    <row r="939" spans="1:6" x14ac:dyDescent="0.3">
      <c r="A939" s="27" t="s">
        <v>1396</v>
      </c>
      <c r="B939" s="27" t="s">
        <v>33</v>
      </c>
      <c r="C939">
        <v>64.3</v>
      </c>
      <c r="D939">
        <v>65.5</v>
      </c>
      <c r="E939" s="27" t="s">
        <v>1388</v>
      </c>
      <c r="F939" s="27"/>
    </row>
    <row r="940" spans="1:6" x14ac:dyDescent="0.3">
      <c r="A940" s="27" t="s">
        <v>1391</v>
      </c>
      <c r="B940" s="27" t="s">
        <v>11</v>
      </c>
      <c r="C940">
        <v>48.1</v>
      </c>
      <c r="D940">
        <v>49</v>
      </c>
      <c r="E940" s="27" t="s">
        <v>1388</v>
      </c>
      <c r="F940" s="27"/>
    </row>
    <row r="941" spans="1:6" x14ac:dyDescent="0.3">
      <c r="A941" s="27" t="s">
        <v>1394</v>
      </c>
      <c r="B941" s="27" t="s">
        <v>10</v>
      </c>
      <c r="C941">
        <v>122.85</v>
      </c>
      <c r="D941">
        <v>125.15</v>
      </c>
      <c r="E941" s="27" t="s">
        <v>1388</v>
      </c>
      <c r="F941" s="27"/>
    </row>
    <row r="942" spans="1:6" x14ac:dyDescent="0.3">
      <c r="A942" s="27" t="s">
        <v>1387</v>
      </c>
      <c r="B942" s="27" t="s">
        <v>10</v>
      </c>
      <c r="C942">
        <v>56.05</v>
      </c>
      <c r="D942">
        <v>57.1</v>
      </c>
      <c r="E942" s="27" t="s">
        <v>1388</v>
      </c>
      <c r="F942" s="27"/>
    </row>
    <row r="943" spans="1:6" x14ac:dyDescent="0.3">
      <c r="A943" s="27" t="s">
        <v>1284</v>
      </c>
      <c r="B943" s="27" t="s">
        <v>10</v>
      </c>
      <c r="C943">
        <v>29.4</v>
      </c>
      <c r="D943">
        <v>29.95</v>
      </c>
      <c r="E943" s="27" t="s">
        <v>1388</v>
      </c>
      <c r="F943" s="27"/>
    </row>
    <row r="944" spans="1:6" x14ac:dyDescent="0.3">
      <c r="A944" s="27" t="s">
        <v>1389</v>
      </c>
      <c r="B944" s="27" t="s">
        <v>33</v>
      </c>
      <c r="C944">
        <v>16.05</v>
      </c>
      <c r="D944">
        <v>16.350000000000001</v>
      </c>
      <c r="E944" s="27" t="s">
        <v>1388</v>
      </c>
      <c r="F944" s="27"/>
    </row>
    <row r="945" spans="1:6" x14ac:dyDescent="0.3">
      <c r="A945" s="27" t="s">
        <v>1107</v>
      </c>
      <c r="B945" s="27" t="s">
        <v>33</v>
      </c>
      <c r="C945">
        <v>72.150000000000006</v>
      </c>
      <c r="D945">
        <v>73.5</v>
      </c>
      <c r="E945" s="27" t="s">
        <v>1388</v>
      </c>
      <c r="F945" s="27"/>
    </row>
    <row r="946" spans="1:6" x14ac:dyDescent="0.3">
      <c r="A946" s="27" t="s">
        <v>1278</v>
      </c>
      <c r="B946" s="27" t="s">
        <v>10</v>
      </c>
      <c r="C946">
        <v>158.25</v>
      </c>
      <c r="D946">
        <v>161.19999999999999</v>
      </c>
      <c r="E946" s="27" t="s">
        <v>1398</v>
      </c>
      <c r="F946" s="27"/>
    </row>
    <row r="947" spans="1:6" x14ac:dyDescent="0.3">
      <c r="A947" s="27" t="s">
        <v>1400</v>
      </c>
      <c r="B947" s="27" t="s">
        <v>328</v>
      </c>
      <c r="C947">
        <v>4.3</v>
      </c>
      <c r="D947">
        <v>4.38</v>
      </c>
      <c r="E947" s="27" t="s">
        <v>1398</v>
      </c>
      <c r="F947" s="27"/>
    </row>
    <row r="948" spans="1:6" x14ac:dyDescent="0.3">
      <c r="A948" s="27" t="s">
        <v>1397</v>
      </c>
      <c r="B948" s="27" t="s">
        <v>328</v>
      </c>
      <c r="C948">
        <v>4.29</v>
      </c>
      <c r="D948">
        <v>4.37</v>
      </c>
      <c r="E948" s="27" t="s">
        <v>1398</v>
      </c>
      <c r="F948" s="27"/>
    </row>
    <row r="949" spans="1:6" x14ac:dyDescent="0.3">
      <c r="A949" s="27" t="s">
        <v>1399</v>
      </c>
      <c r="B949" s="27" t="s">
        <v>328</v>
      </c>
      <c r="C949">
        <v>6.46</v>
      </c>
      <c r="D949">
        <v>6.58</v>
      </c>
      <c r="E949" s="27" t="s">
        <v>1398</v>
      </c>
      <c r="F949" s="27"/>
    </row>
    <row r="950" spans="1:6" x14ac:dyDescent="0.3">
      <c r="A950" s="27" t="s">
        <v>1405</v>
      </c>
      <c r="B950" s="27" t="s">
        <v>328</v>
      </c>
      <c r="C950">
        <v>0.54</v>
      </c>
      <c r="D950">
        <v>0.55000000000000004</v>
      </c>
      <c r="E950" s="27" t="s">
        <v>1402</v>
      </c>
      <c r="F950" s="27"/>
    </row>
    <row r="951" spans="1:6" x14ac:dyDescent="0.3">
      <c r="A951" s="27" t="s">
        <v>1404</v>
      </c>
      <c r="B951" s="27" t="s">
        <v>328</v>
      </c>
      <c r="C951">
        <v>16.739999999999998</v>
      </c>
      <c r="D951">
        <v>17.05</v>
      </c>
      <c r="E951" s="27" t="s">
        <v>1402</v>
      </c>
      <c r="F951" s="27"/>
    </row>
    <row r="952" spans="1:6" x14ac:dyDescent="0.3">
      <c r="A952" s="27" t="s">
        <v>1602</v>
      </c>
      <c r="B952" s="27" t="s">
        <v>10</v>
      </c>
      <c r="C952">
        <v>14.09</v>
      </c>
      <c r="D952">
        <v>14.35</v>
      </c>
      <c r="E952" s="27" t="s">
        <v>1402</v>
      </c>
      <c r="F952" s="27"/>
    </row>
    <row r="953" spans="1:6" x14ac:dyDescent="0.3">
      <c r="A953" s="27" t="s">
        <v>1401</v>
      </c>
      <c r="B953" s="27" t="s">
        <v>328</v>
      </c>
      <c r="C953">
        <v>18.95</v>
      </c>
      <c r="D953">
        <v>19.3</v>
      </c>
      <c r="E953" s="27" t="s">
        <v>1402</v>
      </c>
      <c r="F953" s="27"/>
    </row>
    <row r="954" spans="1:6" x14ac:dyDescent="0.3">
      <c r="A954" s="27" t="s">
        <v>1403</v>
      </c>
      <c r="B954" s="27" t="s">
        <v>33</v>
      </c>
      <c r="C954">
        <v>468.05</v>
      </c>
      <c r="D954">
        <v>476.65</v>
      </c>
      <c r="E954" s="27" t="s">
        <v>1407</v>
      </c>
      <c r="F954" s="27"/>
    </row>
    <row r="955" spans="1:6" x14ac:dyDescent="0.3">
      <c r="A955" s="27" t="s">
        <v>1342</v>
      </c>
      <c r="B955" s="27" t="s">
        <v>10</v>
      </c>
      <c r="C955">
        <v>288.8</v>
      </c>
      <c r="D955">
        <v>294.10000000000002</v>
      </c>
      <c r="E955" s="27" t="s">
        <v>1407</v>
      </c>
      <c r="F955" s="27"/>
    </row>
    <row r="956" spans="1:6" x14ac:dyDescent="0.3">
      <c r="A956" s="27" t="s">
        <v>1406</v>
      </c>
      <c r="B956" s="27" t="s">
        <v>10</v>
      </c>
      <c r="C956">
        <v>92.6</v>
      </c>
      <c r="D956">
        <v>94.3</v>
      </c>
      <c r="E956" s="27" t="s">
        <v>1407</v>
      </c>
      <c r="F956" s="27"/>
    </row>
    <row r="957" spans="1:6" x14ac:dyDescent="0.3">
      <c r="A957" s="27" t="s">
        <v>1409</v>
      </c>
      <c r="B957" s="27" t="s">
        <v>33</v>
      </c>
      <c r="C957">
        <v>602.95000000000005</v>
      </c>
      <c r="D957">
        <v>614</v>
      </c>
      <c r="E957" s="27" t="s">
        <v>1410</v>
      </c>
      <c r="F957" s="27"/>
    </row>
    <row r="958" spans="1:6" x14ac:dyDescent="0.3">
      <c r="A958" s="27" t="s">
        <v>1411</v>
      </c>
      <c r="B958" s="27" t="s">
        <v>328</v>
      </c>
      <c r="C958">
        <v>1.64</v>
      </c>
      <c r="D958">
        <v>1.67</v>
      </c>
      <c r="E958" s="27" t="s">
        <v>1410</v>
      </c>
      <c r="F958" s="27"/>
    </row>
    <row r="959" spans="1:6" x14ac:dyDescent="0.3">
      <c r="A959" s="27" t="s">
        <v>1413</v>
      </c>
      <c r="B959" s="27" t="s">
        <v>33</v>
      </c>
      <c r="C959">
        <v>19.100000000000001</v>
      </c>
      <c r="D959">
        <v>19.45</v>
      </c>
      <c r="E959" s="27" t="s">
        <v>1410</v>
      </c>
      <c r="F959" s="27"/>
    </row>
    <row r="960" spans="1:6" x14ac:dyDescent="0.3">
      <c r="A960" s="27" t="s">
        <v>1525</v>
      </c>
      <c r="B960" s="27" t="s">
        <v>10</v>
      </c>
      <c r="C960">
        <v>317.25</v>
      </c>
      <c r="D960">
        <v>323.05</v>
      </c>
      <c r="E960" s="27" t="s">
        <v>1410</v>
      </c>
      <c r="F960" s="27"/>
    </row>
    <row r="961" spans="1:6" x14ac:dyDescent="0.3">
      <c r="A961" s="27" t="s">
        <v>1414</v>
      </c>
      <c r="B961" s="27" t="s">
        <v>29</v>
      </c>
      <c r="C961">
        <v>81.900000000000006</v>
      </c>
      <c r="D961">
        <v>83.4</v>
      </c>
      <c r="E961" s="27" t="s">
        <v>1410</v>
      </c>
      <c r="F961" s="27"/>
    </row>
    <row r="962" spans="1:6" x14ac:dyDescent="0.3">
      <c r="A962" s="27" t="s">
        <v>1254</v>
      </c>
      <c r="B962" s="27" t="s">
        <v>10</v>
      </c>
      <c r="C962">
        <v>352.55</v>
      </c>
      <c r="D962">
        <v>359</v>
      </c>
      <c r="E962" s="27" t="s">
        <v>1410</v>
      </c>
      <c r="F962" s="27"/>
    </row>
    <row r="963" spans="1:6" x14ac:dyDescent="0.3">
      <c r="A963" s="27" t="s">
        <v>1419</v>
      </c>
      <c r="B963" s="27" t="s">
        <v>11</v>
      </c>
      <c r="C963">
        <v>476.9</v>
      </c>
      <c r="D963">
        <v>485.6</v>
      </c>
      <c r="E963" s="27" t="s">
        <v>1416</v>
      </c>
      <c r="F963" s="27"/>
    </row>
    <row r="964" spans="1:6" x14ac:dyDescent="0.3">
      <c r="A964" s="27" t="s">
        <v>1140</v>
      </c>
      <c r="B964" s="27" t="s">
        <v>33</v>
      </c>
      <c r="C964">
        <v>96.3</v>
      </c>
      <c r="D964">
        <v>98.05</v>
      </c>
      <c r="E964" s="27" t="s">
        <v>1416</v>
      </c>
      <c r="F964" s="27"/>
    </row>
    <row r="965" spans="1:6" x14ac:dyDescent="0.3">
      <c r="A965" s="27" t="s">
        <v>1417</v>
      </c>
      <c r="B965" s="27" t="s">
        <v>33</v>
      </c>
      <c r="C965">
        <v>112.7</v>
      </c>
      <c r="D965">
        <v>114.75</v>
      </c>
      <c r="E965" s="27" t="s">
        <v>1416</v>
      </c>
      <c r="F965" s="27"/>
    </row>
    <row r="966" spans="1:6" x14ac:dyDescent="0.3">
      <c r="A966" s="27" t="s">
        <v>1418</v>
      </c>
      <c r="B966" s="27" t="s">
        <v>35</v>
      </c>
      <c r="C966">
        <v>2.74</v>
      </c>
      <c r="D966">
        <v>2.79</v>
      </c>
      <c r="E966" s="27" t="s">
        <v>1416</v>
      </c>
      <c r="F966" s="27"/>
    </row>
    <row r="967" spans="1:6" x14ac:dyDescent="0.3">
      <c r="A967" s="27" t="s">
        <v>1424</v>
      </c>
      <c r="B967" s="27" t="s">
        <v>10</v>
      </c>
      <c r="C967">
        <v>33.1</v>
      </c>
      <c r="D967">
        <v>33.700000000000003</v>
      </c>
      <c r="E967" s="27" t="s">
        <v>1421</v>
      </c>
      <c r="F967" s="27"/>
    </row>
    <row r="968" spans="1:6" x14ac:dyDescent="0.3">
      <c r="A968" s="27" t="s">
        <v>1423</v>
      </c>
      <c r="B968" s="27" t="s">
        <v>328</v>
      </c>
      <c r="C968">
        <v>16.55</v>
      </c>
      <c r="D968">
        <v>16.850000000000001</v>
      </c>
      <c r="E968" s="27" t="s">
        <v>1421</v>
      </c>
      <c r="F968" s="27"/>
    </row>
    <row r="969" spans="1:6" x14ac:dyDescent="0.3">
      <c r="A969" s="27" t="s">
        <v>1422</v>
      </c>
      <c r="B969" s="27" t="s">
        <v>33</v>
      </c>
      <c r="C969">
        <v>3.31</v>
      </c>
      <c r="D969">
        <v>3.37</v>
      </c>
      <c r="E969" s="27" t="s">
        <v>1421</v>
      </c>
      <c r="F969" s="27"/>
    </row>
    <row r="970" spans="1:6" x14ac:dyDescent="0.3">
      <c r="A970" s="27" t="s">
        <v>1467</v>
      </c>
      <c r="B970" s="27" t="s">
        <v>10</v>
      </c>
      <c r="C970">
        <v>136.19999999999999</v>
      </c>
      <c r="D970">
        <v>138.65</v>
      </c>
      <c r="E970" s="27" t="s">
        <v>1426</v>
      </c>
      <c r="F970" s="27"/>
    </row>
    <row r="971" spans="1:6" x14ac:dyDescent="0.3">
      <c r="A971" s="27" t="s">
        <v>1439</v>
      </c>
      <c r="B971" s="27" t="s">
        <v>10</v>
      </c>
      <c r="C971">
        <v>225.2</v>
      </c>
      <c r="D971">
        <v>229.25</v>
      </c>
      <c r="E971" s="27" t="s">
        <v>1426</v>
      </c>
      <c r="F971" s="27"/>
    </row>
    <row r="972" spans="1:6" x14ac:dyDescent="0.3">
      <c r="A972" s="27" t="s">
        <v>1427</v>
      </c>
      <c r="B972" s="27" t="s">
        <v>33</v>
      </c>
      <c r="C972">
        <v>13.9</v>
      </c>
      <c r="D972">
        <v>14.15</v>
      </c>
      <c r="E972" s="27" t="s">
        <v>1426</v>
      </c>
      <c r="F972" s="27"/>
    </row>
    <row r="973" spans="1:6" x14ac:dyDescent="0.3">
      <c r="A973" s="27" t="s">
        <v>3365</v>
      </c>
      <c r="B973" s="27" t="s">
        <v>35</v>
      </c>
      <c r="C973">
        <v>2.78</v>
      </c>
      <c r="D973">
        <v>2.83</v>
      </c>
      <c r="E973" s="27" t="s">
        <v>1426</v>
      </c>
      <c r="F973" s="27"/>
    </row>
    <row r="974" spans="1:6" x14ac:dyDescent="0.3">
      <c r="A974" s="27" t="s">
        <v>1429</v>
      </c>
      <c r="B974" s="27" t="s">
        <v>29</v>
      </c>
      <c r="C974">
        <v>3.33</v>
      </c>
      <c r="D974">
        <v>3.39</v>
      </c>
      <c r="E974" s="27" t="s">
        <v>1426</v>
      </c>
      <c r="F974" s="27"/>
    </row>
    <row r="975" spans="1:6" x14ac:dyDescent="0.3">
      <c r="A975" s="27" t="s">
        <v>1425</v>
      </c>
      <c r="B975" s="27" t="s">
        <v>33</v>
      </c>
      <c r="C975">
        <v>167</v>
      </c>
      <c r="D975">
        <v>170</v>
      </c>
      <c r="E975" s="27" t="s">
        <v>1426</v>
      </c>
      <c r="F975" s="27"/>
    </row>
    <row r="976" spans="1:6" x14ac:dyDescent="0.3">
      <c r="A976" s="27" t="s">
        <v>1438</v>
      </c>
      <c r="B976" s="27" t="s">
        <v>10</v>
      </c>
      <c r="C976">
        <v>713.2</v>
      </c>
      <c r="D976">
        <v>726</v>
      </c>
      <c r="E976" s="27" t="s">
        <v>1435</v>
      </c>
      <c r="F976" s="27"/>
    </row>
    <row r="977" spans="1:6" x14ac:dyDescent="0.3">
      <c r="A977" s="27" t="s">
        <v>1434</v>
      </c>
      <c r="B977" s="27" t="s">
        <v>33</v>
      </c>
      <c r="C977">
        <v>27.9</v>
      </c>
      <c r="D977">
        <v>28.4</v>
      </c>
      <c r="E977" s="27" t="s">
        <v>1435</v>
      </c>
      <c r="F977" s="27"/>
    </row>
    <row r="978" spans="1:6" x14ac:dyDescent="0.3">
      <c r="A978" s="27" t="s">
        <v>1354</v>
      </c>
      <c r="B978" s="27" t="s">
        <v>10</v>
      </c>
      <c r="C978">
        <v>454.65</v>
      </c>
      <c r="D978">
        <v>462.8</v>
      </c>
      <c r="E978" s="27" t="s">
        <v>1435</v>
      </c>
      <c r="F978" s="27"/>
    </row>
    <row r="979" spans="1:6" x14ac:dyDescent="0.3">
      <c r="A979" s="27" t="s">
        <v>1437</v>
      </c>
      <c r="B979" s="27" t="s">
        <v>11</v>
      </c>
      <c r="C979">
        <v>123.15</v>
      </c>
      <c r="D979">
        <v>125.35</v>
      </c>
      <c r="E979" s="27" t="s">
        <v>1435</v>
      </c>
      <c r="F979" s="27"/>
    </row>
    <row r="980" spans="1:6" x14ac:dyDescent="0.3">
      <c r="A980" s="27" t="s">
        <v>1436</v>
      </c>
      <c r="B980" s="27" t="s">
        <v>11</v>
      </c>
      <c r="C980">
        <v>16.75</v>
      </c>
      <c r="D980">
        <v>17.05</v>
      </c>
      <c r="E980" s="27" t="s">
        <v>1435</v>
      </c>
      <c r="F980" s="27"/>
    </row>
    <row r="981" spans="1:6" x14ac:dyDescent="0.3">
      <c r="A981" s="27" t="s">
        <v>1451</v>
      </c>
      <c r="B981" s="27" t="s">
        <v>10</v>
      </c>
      <c r="C981">
        <v>392.85</v>
      </c>
      <c r="D981">
        <v>399.9</v>
      </c>
      <c r="E981" s="27" t="s">
        <v>1435</v>
      </c>
      <c r="F981" s="27"/>
    </row>
    <row r="982" spans="1:6" x14ac:dyDescent="0.3">
      <c r="A982" s="27" t="s">
        <v>1494</v>
      </c>
      <c r="B982" s="27" t="s">
        <v>10</v>
      </c>
      <c r="C982">
        <v>224.7</v>
      </c>
      <c r="D982">
        <v>228.7</v>
      </c>
      <c r="E982" s="27" t="s">
        <v>1440</v>
      </c>
      <c r="F982" s="27"/>
    </row>
    <row r="983" spans="1:6" x14ac:dyDescent="0.3">
      <c r="A983" s="27" t="s">
        <v>1442</v>
      </c>
      <c r="B983" s="27" t="s">
        <v>10</v>
      </c>
      <c r="C983">
        <v>47.65</v>
      </c>
      <c r="D983">
        <v>48.5</v>
      </c>
      <c r="E983" s="27" t="s">
        <v>1440</v>
      </c>
      <c r="F983" s="27"/>
    </row>
    <row r="984" spans="1:6" x14ac:dyDescent="0.3">
      <c r="A984" s="27" t="s">
        <v>1032</v>
      </c>
      <c r="B984" s="27" t="s">
        <v>10</v>
      </c>
      <c r="C984">
        <v>19.649999999999999</v>
      </c>
      <c r="D984">
        <v>20</v>
      </c>
      <c r="E984" s="27" t="s">
        <v>1440</v>
      </c>
      <c r="F984" s="27"/>
    </row>
    <row r="985" spans="1:6" x14ac:dyDescent="0.3">
      <c r="A985" s="27" t="s">
        <v>1441</v>
      </c>
      <c r="B985" s="27" t="s">
        <v>35</v>
      </c>
      <c r="C985">
        <v>3.93</v>
      </c>
      <c r="D985">
        <v>4</v>
      </c>
      <c r="E985" s="27" t="s">
        <v>1440</v>
      </c>
      <c r="F985" s="27"/>
    </row>
    <row r="986" spans="1:6" x14ac:dyDescent="0.3">
      <c r="A986" s="27" t="s">
        <v>1447</v>
      </c>
      <c r="B986" s="27" t="s">
        <v>33</v>
      </c>
      <c r="C986">
        <v>33.9</v>
      </c>
      <c r="D986">
        <v>34.5</v>
      </c>
      <c r="E986" s="27" t="s">
        <v>1446</v>
      </c>
      <c r="F986" s="27"/>
    </row>
    <row r="987" spans="1:6" x14ac:dyDescent="0.3">
      <c r="A987" s="27" t="s">
        <v>1450</v>
      </c>
      <c r="B987" s="27" t="s">
        <v>10</v>
      </c>
      <c r="C987">
        <v>4487.3999999999996</v>
      </c>
      <c r="D987">
        <v>4566.6499999999996</v>
      </c>
      <c r="E987" s="27" t="s">
        <v>1446</v>
      </c>
      <c r="F987" s="27"/>
    </row>
    <row r="988" spans="1:6" x14ac:dyDescent="0.3">
      <c r="A988" s="27" t="s">
        <v>1445</v>
      </c>
      <c r="B988" s="27" t="s">
        <v>11</v>
      </c>
      <c r="C988">
        <v>79.25</v>
      </c>
      <c r="D988">
        <v>80.650000000000006</v>
      </c>
      <c r="E988" s="27" t="s">
        <v>1446</v>
      </c>
      <c r="F988" s="27"/>
    </row>
    <row r="989" spans="1:6" x14ac:dyDescent="0.3">
      <c r="A989" s="27" t="s">
        <v>1283</v>
      </c>
      <c r="B989" s="27" t="s">
        <v>10</v>
      </c>
      <c r="C989">
        <v>186.7</v>
      </c>
      <c r="D989">
        <v>190</v>
      </c>
      <c r="E989" s="27" t="s">
        <v>1446</v>
      </c>
      <c r="F989" s="27"/>
    </row>
    <row r="990" spans="1:6" x14ac:dyDescent="0.3">
      <c r="A990" s="27" t="s">
        <v>1448</v>
      </c>
      <c r="B990" s="27" t="s">
        <v>10</v>
      </c>
      <c r="C990">
        <v>93.35</v>
      </c>
      <c r="D990">
        <v>95</v>
      </c>
      <c r="E990" s="27" t="s">
        <v>1446</v>
      </c>
      <c r="F990" s="27"/>
    </row>
    <row r="991" spans="1:6" x14ac:dyDescent="0.3">
      <c r="A991" s="27" t="s">
        <v>1454</v>
      </c>
      <c r="B991" s="27" t="s">
        <v>33</v>
      </c>
      <c r="C991">
        <v>3.4</v>
      </c>
      <c r="D991">
        <v>3.46</v>
      </c>
      <c r="E991" s="27" t="s">
        <v>1452</v>
      </c>
      <c r="F991" s="27"/>
    </row>
    <row r="992" spans="1:6" x14ac:dyDescent="0.3">
      <c r="A992" s="27" t="s">
        <v>1455</v>
      </c>
      <c r="B992" s="27" t="s">
        <v>328</v>
      </c>
      <c r="C992">
        <v>19.850000000000001</v>
      </c>
      <c r="D992">
        <v>20.2</v>
      </c>
      <c r="E992" s="27" t="s">
        <v>1452</v>
      </c>
      <c r="F992" s="27"/>
    </row>
    <row r="993" spans="1:6" x14ac:dyDescent="0.3">
      <c r="A993" s="27" t="s">
        <v>1456</v>
      </c>
      <c r="B993" s="27" t="s">
        <v>11</v>
      </c>
      <c r="C993">
        <v>128.19999999999999</v>
      </c>
      <c r="D993">
        <v>130.44999999999999</v>
      </c>
      <c r="E993" s="27" t="s">
        <v>1452</v>
      </c>
      <c r="F993" s="27"/>
    </row>
    <row r="994" spans="1:6" x14ac:dyDescent="0.3">
      <c r="A994" s="27" t="s">
        <v>1294</v>
      </c>
      <c r="B994" s="27" t="s">
        <v>11</v>
      </c>
      <c r="C994">
        <v>79.349999999999994</v>
      </c>
      <c r="D994">
        <v>80.75</v>
      </c>
      <c r="E994" s="27" t="s">
        <v>1452</v>
      </c>
      <c r="F994" s="27"/>
    </row>
    <row r="995" spans="1:6" x14ac:dyDescent="0.3">
      <c r="A995" s="27" t="s">
        <v>1457</v>
      </c>
      <c r="B995" s="27" t="s">
        <v>33</v>
      </c>
      <c r="C995">
        <v>14.89</v>
      </c>
      <c r="D995">
        <v>15.15</v>
      </c>
      <c r="E995" s="27" t="s">
        <v>1458</v>
      </c>
      <c r="F995" s="27"/>
    </row>
    <row r="996" spans="1:6" x14ac:dyDescent="0.3">
      <c r="A996" s="27" t="s">
        <v>1459</v>
      </c>
      <c r="B996" s="27" t="s">
        <v>29</v>
      </c>
      <c r="C996">
        <v>6.87</v>
      </c>
      <c r="D996">
        <v>6.99</v>
      </c>
      <c r="E996" s="27" t="s">
        <v>1458</v>
      </c>
      <c r="F996" s="27"/>
    </row>
    <row r="997" spans="1:6" x14ac:dyDescent="0.3">
      <c r="A997" s="27" t="s">
        <v>1460</v>
      </c>
      <c r="B997" s="27" t="s">
        <v>11</v>
      </c>
      <c r="C997">
        <v>181.15</v>
      </c>
      <c r="D997">
        <v>184.3</v>
      </c>
      <c r="E997" s="27" t="s">
        <v>1461</v>
      </c>
      <c r="F997" s="27"/>
    </row>
    <row r="998" spans="1:6" x14ac:dyDescent="0.3">
      <c r="A998" s="27" t="s">
        <v>1453</v>
      </c>
      <c r="B998" s="27" t="s">
        <v>10</v>
      </c>
      <c r="C998">
        <v>29048.1</v>
      </c>
      <c r="D998">
        <v>29553.85</v>
      </c>
      <c r="E998" s="27" t="s">
        <v>1461</v>
      </c>
      <c r="F998" s="27"/>
    </row>
    <row r="999" spans="1:6" x14ac:dyDescent="0.3">
      <c r="A999" s="27" t="s">
        <v>1463</v>
      </c>
      <c r="B999" s="27" t="s">
        <v>35</v>
      </c>
      <c r="C999">
        <v>2.2999999999999998</v>
      </c>
      <c r="D999">
        <v>2.34</v>
      </c>
      <c r="E999" s="27" t="s">
        <v>1461</v>
      </c>
      <c r="F999" s="27"/>
    </row>
    <row r="1000" spans="1:6" x14ac:dyDescent="0.3">
      <c r="A1000" s="27" t="s">
        <v>1465</v>
      </c>
      <c r="B1000" s="27" t="s">
        <v>11</v>
      </c>
      <c r="C1000">
        <v>74.55</v>
      </c>
      <c r="D1000">
        <v>75.849999999999994</v>
      </c>
      <c r="E1000" s="27" t="s">
        <v>1461</v>
      </c>
      <c r="F1000" s="27"/>
    </row>
    <row r="1001" spans="1:6" x14ac:dyDescent="0.3">
      <c r="A1001" s="27" t="s">
        <v>1464</v>
      </c>
      <c r="B1001" s="27" t="s">
        <v>33</v>
      </c>
      <c r="C1001">
        <v>540.6</v>
      </c>
      <c r="D1001">
        <v>550</v>
      </c>
      <c r="E1001" s="27" t="s">
        <v>1461</v>
      </c>
      <c r="F1001" s="27"/>
    </row>
    <row r="1002" spans="1:6" x14ac:dyDescent="0.3">
      <c r="A1002" s="27" t="s">
        <v>1472</v>
      </c>
      <c r="B1002" s="27" t="s">
        <v>33</v>
      </c>
      <c r="C1002">
        <v>265.39999999999998</v>
      </c>
      <c r="D1002">
        <v>270</v>
      </c>
      <c r="E1002" s="27" t="s">
        <v>1468</v>
      </c>
      <c r="F1002" s="27"/>
    </row>
    <row r="1003" spans="1:6" x14ac:dyDescent="0.3">
      <c r="A1003" s="27" t="s">
        <v>1470</v>
      </c>
      <c r="B1003" s="27" t="s">
        <v>11</v>
      </c>
      <c r="C1003">
        <v>112.55</v>
      </c>
      <c r="D1003">
        <v>114.5</v>
      </c>
      <c r="E1003" s="27" t="s">
        <v>1468</v>
      </c>
      <c r="F1003" s="27"/>
    </row>
    <row r="1004" spans="1:6" x14ac:dyDescent="0.3">
      <c r="A1004" s="27" t="s">
        <v>1043</v>
      </c>
      <c r="B1004" s="27" t="s">
        <v>11</v>
      </c>
      <c r="C1004">
        <v>106.85</v>
      </c>
      <c r="D1004">
        <v>108.7</v>
      </c>
      <c r="E1004" s="27" t="s">
        <v>1468</v>
      </c>
      <c r="F1004" s="27"/>
    </row>
    <row r="1005" spans="1:6" x14ac:dyDescent="0.3">
      <c r="A1005" s="27" t="s">
        <v>1477</v>
      </c>
      <c r="B1005" s="27" t="s">
        <v>11</v>
      </c>
      <c r="C1005">
        <v>55.15</v>
      </c>
      <c r="D1005">
        <v>56.1</v>
      </c>
      <c r="E1005" s="27" t="s">
        <v>1474</v>
      </c>
      <c r="F1005" s="27"/>
    </row>
    <row r="1006" spans="1:6" x14ac:dyDescent="0.3">
      <c r="A1006" s="27" t="s">
        <v>1479</v>
      </c>
      <c r="B1006" s="27" t="s">
        <v>33</v>
      </c>
      <c r="C1006">
        <v>2.9</v>
      </c>
      <c r="D1006">
        <v>2.95</v>
      </c>
      <c r="E1006" s="27" t="s">
        <v>1474</v>
      </c>
      <c r="F1006" s="27"/>
    </row>
    <row r="1007" spans="1:6" x14ac:dyDescent="0.3">
      <c r="A1007" s="27" t="s">
        <v>1476</v>
      </c>
      <c r="B1007" s="27" t="s">
        <v>33</v>
      </c>
      <c r="C1007">
        <v>3.48</v>
      </c>
      <c r="D1007">
        <v>3.54</v>
      </c>
      <c r="E1007" s="27" t="s">
        <v>1474</v>
      </c>
      <c r="F1007" s="27"/>
    </row>
    <row r="1008" spans="1:6" x14ac:dyDescent="0.3">
      <c r="A1008" s="27" t="s">
        <v>1478</v>
      </c>
      <c r="B1008" s="27" t="s">
        <v>11</v>
      </c>
      <c r="C1008">
        <v>244.4</v>
      </c>
      <c r="D1008">
        <v>248.6</v>
      </c>
      <c r="E1008" s="27" t="s">
        <v>1474</v>
      </c>
      <c r="F1008" s="27"/>
    </row>
    <row r="1009" spans="1:6" x14ac:dyDescent="0.3">
      <c r="A1009" s="27" t="s">
        <v>1473</v>
      </c>
      <c r="B1009" s="27" t="s">
        <v>35</v>
      </c>
      <c r="C1009">
        <v>1.1599999999999999</v>
      </c>
      <c r="D1009">
        <v>1.18</v>
      </c>
      <c r="E1009" s="27" t="s">
        <v>1474</v>
      </c>
      <c r="F1009" s="27"/>
    </row>
    <row r="1010" spans="1:6" x14ac:dyDescent="0.3">
      <c r="A1010" s="27" t="s">
        <v>1486</v>
      </c>
      <c r="B1010" s="27" t="s">
        <v>10</v>
      </c>
      <c r="C1010">
        <v>26.3</v>
      </c>
      <c r="D1010">
        <v>26.75</v>
      </c>
      <c r="E1010" s="27" t="s">
        <v>1481</v>
      </c>
      <c r="F1010" s="27"/>
    </row>
    <row r="1011" spans="1:6" x14ac:dyDescent="0.3">
      <c r="A1011" s="27" t="s">
        <v>1231</v>
      </c>
      <c r="B1011" s="27" t="s">
        <v>10</v>
      </c>
      <c r="C1011">
        <v>32.200000000000003</v>
      </c>
      <c r="D1011">
        <v>32.75</v>
      </c>
      <c r="E1011" s="27" t="s">
        <v>1481</v>
      </c>
      <c r="F1011" s="27"/>
    </row>
    <row r="1012" spans="1:6" x14ac:dyDescent="0.3">
      <c r="A1012" s="27" t="s">
        <v>3366</v>
      </c>
      <c r="B1012" s="27" t="s">
        <v>29</v>
      </c>
      <c r="C1012">
        <v>5.85</v>
      </c>
      <c r="D1012">
        <v>5.95</v>
      </c>
      <c r="E1012" s="27" t="s">
        <v>1481</v>
      </c>
      <c r="F1012" s="27"/>
    </row>
    <row r="1013" spans="1:6" x14ac:dyDescent="0.3">
      <c r="A1013" s="27" t="s">
        <v>1483</v>
      </c>
      <c r="B1013" s="27" t="s">
        <v>11</v>
      </c>
      <c r="C1013">
        <v>1381.55</v>
      </c>
      <c r="D1013">
        <v>1405.2</v>
      </c>
      <c r="E1013" s="27" t="s">
        <v>1481</v>
      </c>
      <c r="F1013" s="27"/>
    </row>
    <row r="1014" spans="1:6" x14ac:dyDescent="0.3">
      <c r="A1014" s="27" t="s">
        <v>1318</v>
      </c>
      <c r="B1014" s="27" t="s">
        <v>10</v>
      </c>
      <c r="C1014">
        <v>2178.85</v>
      </c>
      <c r="D1014">
        <v>2216</v>
      </c>
      <c r="E1014" s="27" t="s">
        <v>1481</v>
      </c>
      <c r="F1014" s="27"/>
    </row>
    <row r="1015" spans="1:6" x14ac:dyDescent="0.3">
      <c r="A1015" s="27" t="s">
        <v>1485</v>
      </c>
      <c r="B1015" s="27" t="s">
        <v>33</v>
      </c>
      <c r="C1015">
        <v>76.2</v>
      </c>
      <c r="D1015">
        <v>77.5</v>
      </c>
      <c r="E1015" s="27" t="s">
        <v>1481</v>
      </c>
      <c r="F1015" s="27"/>
    </row>
    <row r="1016" spans="1:6" x14ac:dyDescent="0.3">
      <c r="A1016" s="27" t="s">
        <v>1482</v>
      </c>
      <c r="B1016" s="27" t="s">
        <v>33</v>
      </c>
      <c r="C1016">
        <v>23.35</v>
      </c>
      <c r="D1016">
        <v>23.75</v>
      </c>
      <c r="E1016" s="27" t="s">
        <v>1481</v>
      </c>
      <c r="F1016" s="27"/>
    </row>
    <row r="1017" spans="1:6" x14ac:dyDescent="0.3">
      <c r="A1017" s="27" t="s">
        <v>1487</v>
      </c>
      <c r="B1017" s="27" t="s">
        <v>11</v>
      </c>
      <c r="C1017">
        <v>82.45</v>
      </c>
      <c r="D1017">
        <v>83.85</v>
      </c>
      <c r="E1017" s="27" t="s">
        <v>1488</v>
      </c>
      <c r="F1017" s="27"/>
    </row>
    <row r="1018" spans="1:6" x14ac:dyDescent="0.3">
      <c r="A1018" s="27" t="s">
        <v>1489</v>
      </c>
      <c r="B1018" s="27" t="s">
        <v>328</v>
      </c>
      <c r="C1018">
        <v>2.94</v>
      </c>
      <c r="D1018">
        <v>2.99</v>
      </c>
      <c r="E1018" s="27" t="s">
        <v>1488</v>
      </c>
      <c r="F1018" s="27"/>
    </row>
    <row r="1019" spans="1:6" x14ac:dyDescent="0.3">
      <c r="A1019" s="27" t="s">
        <v>1491</v>
      </c>
      <c r="B1019" s="27" t="s">
        <v>10</v>
      </c>
      <c r="C1019">
        <v>4524.3</v>
      </c>
      <c r="D1019">
        <v>4601.1000000000004</v>
      </c>
      <c r="E1019" s="27" t="s">
        <v>1488</v>
      </c>
      <c r="F1019" s="27"/>
    </row>
    <row r="1020" spans="1:6" x14ac:dyDescent="0.3">
      <c r="A1020" s="27" t="s">
        <v>1497</v>
      </c>
      <c r="B1020" s="27" t="s">
        <v>10</v>
      </c>
      <c r="C1020">
        <v>1253.8499999999999</v>
      </c>
      <c r="D1020">
        <v>1275</v>
      </c>
      <c r="E1020" s="27" t="s">
        <v>1493</v>
      </c>
      <c r="F1020" s="27"/>
    </row>
    <row r="1021" spans="1:6" x14ac:dyDescent="0.3">
      <c r="A1021" s="27" t="s">
        <v>1495</v>
      </c>
      <c r="B1021" s="27" t="s">
        <v>33</v>
      </c>
      <c r="C1021">
        <v>162.25</v>
      </c>
      <c r="D1021">
        <v>165</v>
      </c>
      <c r="E1021" s="27" t="s">
        <v>1493</v>
      </c>
      <c r="F1021" s="27"/>
    </row>
    <row r="1022" spans="1:6" x14ac:dyDescent="0.3">
      <c r="A1022" s="27" t="s">
        <v>1496</v>
      </c>
      <c r="B1022" s="27" t="s">
        <v>35</v>
      </c>
      <c r="C1022">
        <v>32.450000000000003</v>
      </c>
      <c r="D1022">
        <v>33</v>
      </c>
      <c r="E1022" s="27" t="s">
        <v>1493</v>
      </c>
      <c r="F1022" s="27"/>
    </row>
    <row r="1023" spans="1:6" x14ac:dyDescent="0.3">
      <c r="A1023" s="27" t="s">
        <v>1227</v>
      </c>
      <c r="B1023" s="27" t="s">
        <v>11</v>
      </c>
      <c r="C1023">
        <v>71.150000000000006</v>
      </c>
      <c r="D1023">
        <v>72.349999999999994</v>
      </c>
      <c r="E1023" s="27" t="s">
        <v>1493</v>
      </c>
      <c r="F1023" s="27"/>
    </row>
    <row r="1024" spans="1:6" x14ac:dyDescent="0.3">
      <c r="A1024" s="27" t="s">
        <v>1500</v>
      </c>
      <c r="B1024" s="27" t="s">
        <v>11</v>
      </c>
      <c r="C1024">
        <v>181.35</v>
      </c>
      <c r="D1024">
        <v>184.4</v>
      </c>
      <c r="E1024" s="27" t="s">
        <v>1499</v>
      </c>
      <c r="F1024" s="27"/>
    </row>
    <row r="1025" spans="1:6" x14ac:dyDescent="0.3">
      <c r="A1025" s="27" t="s">
        <v>1502</v>
      </c>
      <c r="B1025" s="27" t="s">
        <v>11</v>
      </c>
      <c r="C1025">
        <v>53.6</v>
      </c>
      <c r="D1025">
        <v>54.5</v>
      </c>
      <c r="E1025" s="27" t="s">
        <v>1499</v>
      </c>
      <c r="F1025" s="27"/>
    </row>
    <row r="1026" spans="1:6" x14ac:dyDescent="0.3">
      <c r="A1026" s="27" t="s">
        <v>1501</v>
      </c>
      <c r="B1026" s="27" t="s">
        <v>33</v>
      </c>
      <c r="C1026">
        <v>2.38</v>
      </c>
      <c r="D1026">
        <v>2.42</v>
      </c>
      <c r="E1026" s="27" t="s">
        <v>1499</v>
      </c>
      <c r="F1026" s="27"/>
    </row>
    <row r="1027" spans="1:6" x14ac:dyDescent="0.3">
      <c r="A1027" s="27" t="s">
        <v>1506</v>
      </c>
      <c r="B1027" s="27" t="s">
        <v>10</v>
      </c>
      <c r="C1027">
        <v>86.5</v>
      </c>
      <c r="D1027">
        <v>87.95</v>
      </c>
      <c r="E1027" s="27" t="s">
        <v>1499</v>
      </c>
      <c r="F1027" s="27"/>
    </row>
    <row r="1028" spans="1:6" x14ac:dyDescent="0.3">
      <c r="A1028" s="27" t="s">
        <v>1504</v>
      </c>
      <c r="B1028" s="27" t="s">
        <v>33</v>
      </c>
      <c r="C1028">
        <v>32.799999999999997</v>
      </c>
      <c r="D1028">
        <v>33.35</v>
      </c>
      <c r="E1028" s="27" t="s">
        <v>1499</v>
      </c>
      <c r="F1028" s="27"/>
    </row>
    <row r="1029" spans="1:6" x14ac:dyDescent="0.3">
      <c r="A1029" s="27" t="s">
        <v>1509</v>
      </c>
      <c r="B1029" s="27" t="s">
        <v>29</v>
      </c>
      <c r="C1029">
        <v>29.75</v>
      </c>
      <c r="D1029">
        <v>30.25</v>
      </c>
      <c r="E1029" s="27" t="s">
        <v>1499</v>
      </c>
      <c r="F1029" s="27"/>
    </row>
    <row r="1030" spans="1:6" x14ac:dyDescent="0.3">
      <c r="A1030" s="27" t="s">
        <v>1505</v>
      </c>
      <c r="B1030" s="27" t="s">
        <v>11</v>
      </c>
      <c r="C1030">
        <v>447</v>
      </c>
      <c r="D1030">
        <v>454.5</v>
      </c>
      <c r="E1030" s="27" t="s">
        <v>1499</v>
      </c>
      <c r="F1030" s="27"/>
    </row>
    <row r="1031" spans="1:6" x14ac:dyDescent="0.3">
      <c r="A1031" s="27" t="s">
        <v>1503</v>
      </c>
      <c r="B1031" s="27" t="s">
        <v>33</v>
      </c>
      <c r="C1031">
        <v>2.97</v>
      </c>
      <c r="D1031">
        <v>3.02</v>
      </c>
      <c r="E1031" s="27" t="s">
        <v>1499</v>
      </c>
      <c r="F1031" s="27"/>
    </row>
    <row r="1032" spans="1:6" x14ac:dyDescent="0.3">
      <c r="A1032" s="27" t="s">
        <v>1408</v>
      </c>
      <c r="B1032" s="27" t="s">
        <v>10</v>
      </c>
      <c r="C1032">
        <v>315</v>
      </c>
      <c r="D1032">
        <v>320.3</v>
      </c>
      <c r="E1032" s="27" t="s">
        <v>1499</v>
      </c>
      <c r="F1032" s="27"/>
    </row>
    <row r="1033" spans="1:6" x14ac:dyDescent="0.3">
      <c r="A1033" s="27" t="s">
        <v>1514</v>
      </c>
      <c r="B1033" s="27" t="s">
        <v>10</v>
      </c>
      <c r="C1033">
        <v>108</v>
      </c>
      <c r="D1033">
        <v>109.8</v>
      </c>
      <c r="E1033" s="27" t="s">
        <v>1511</v>
      </c>
      <c r="F1033" s="27"/>
    </row>
    <row r="1034" spans="1:6" x14ac:dyDescent="0.3">
      <c r="A1034" s="27" t="s">
        <v>1512</v>
      </c>
      <c r="B1034" s="27" t="s">
        <v>10</v>
      </c>
      <c r="C1034">
        <v>1083.75</v>
      </c>
      <c r="D1034">
        <v>1101.9000000000001</v>
      </c>
      <c r="E1034" s="27" t="s">
        <v>1511</v>
      </c>
      <c r="F1034" s="27"/>
    </row>
    <row r="1035" spans="1:6" x14ac:dyDescent="0.3">
      <c r="A1035" s="27" t="s">
        <v>1513</v>
      </c>
      <c r="B1035" s="27" t="s">
        <v>11</v>
      </c>
      <c r="C1035">
        <v>9.6</v>
      </c>
      <c r="D1035">
        <v>9.76</v>
      </c>
      <c r="E1035" s="27" t="s">
        <v>1511</v>
      </c>
      <c r="F1035" s="27"/>
    </row>
    <row r="1036" spans="1:6" x14ac:dyDescent="0.3">
      <c r="A1036" s="27" t="s">
        <v>1536</v>
      </c>
      <c r="B1036" s="27" t="s">
        <v>10</v>
      </c>
      <c r="C1036">
        <v>746.55</v>
      </c>
      <c r="D1036">
        <v>759.05</v>
      </c>
      <c r="E1036" s="27" t="s">
        <v>1511</v>
      </c>
      <c r="F1036" s="27"/>
    </row>
    <row r="1037" spans="1:6" x14ac:dyDescent="0.3">
      <c r="A1037" s="27" t="s">
        <v>1266</v>
      </c>
      <c r="B1037" s="27" t="s">
        <v>10</v>
      </c>
      <c r="C1037">
        <v>137.65</v>
      </c>
      <c r="D1037">
        <v>139.94999999999999</v>
      </c>
      <c r="E1037" s="27" t="s">
        <v>1511</v>
      </c>
      <c r="F1037" s="27"/>
    </row>
    <row r="1038" spans="1:6" x14ac:dyDescent="0.3">
      <c r="A1038" s="27" t="s">
        <v>1518</v>
      </c>
      <c r="B1038" s="27" t="s">
        <v>33</v>
      </c>
      <c r="C1038">
        <v>141.4</v>
      </c>
      <c r="D1038">
        <v>143.75</v>
      </c>
      <c r="E1038" s="27" t="s">
        <v>1516</v>
      </c>
      <c r="F1038" s="27"/>
    </row>
    <row r="1039" spans="1:6" x14ac:dyDescent="0.3">
      <c r="A1039" s="27" t="s">
        <v>1519</v>
      </c>
      <c r="B1039" s="27" t="s">
        <v>10</v>
      </c>
      <c r="C1039">
        <v>255.9</v>
      </c>
      <c r="D1039">
        <v>260.14999999999998</v>
      </c>
      <c r="E1039" s="27" t="s">
        <v>1516</v>
      </c>
      <c r="F1039" s="27"/>
    </row>
    <row r="1040" spans="1:6" x14ac:dyDescent="0.3">
      <c r="A1040" s="27" t="s">
        <v>1498</v>
      </c>
      <c r="B1040" s="27" t="s">
        <v>10</v>
      </c>
      <c r="C1040">
        <v>235.05</v>
      </c>
      <c r="D1040">
        <v>238.95</v>
      </c>
      <c r="E1040" s="27" t="s">
        <v>1516</v>
      </c>
      <c r="F1040" s="27"/>
    </row>
    <row r="1041" spans="1:6" x14ac:dyDescent="0.3">
      <c r="A1041" s="27" t="s">
        <v>1517</v>
      </c>
      <c r="B1041" s="27" t="s">
        <v>33</v>
      </c>
      <c r="C1041">
        <v>7.82</v>
      </c>
      <c r="D1041">
        <v>7.95</v>
      </c>
      <c r="E1041" s="27" t="s">
        <v>1516</v>
      </c>
      <c r="F1041" s="27"/>
    </row>
    <row r="1042" spans="1:6" x14ac:dyDescent="0.3">
      <c r="A1042" s="27" t="s">
        <v>1578</v>
      </c>
      <c r="B1042" s="27" t="s">
        <v>10</v>
      </c>
      <c r="C1042">
        <v>343.85</v>
      </c>
      <c r="D1042">
        <v>349.55</v>
      </c>
      <c r="E1042" s="27" t="s">
        <v>1516</v>
      </c>
      <c r="F1042" s="27"/>
    </row>
    <row r="1043" spans="1:6" x14ac:dyDescent="0.3">
      <c r="A1043" s="27" t="s">
        <v>1588</v>
      </c>
      <c r="B1043" s="27" t="s">
        <v>10</v>
      </c>
      <c r="C1043">
        <v>6.63</v>
      </c>
      <c r="D1043">
        <v>6.74</v>
      </c>
      <c r="E1043" s="27" t="s">
        <v>1516</v>
      </c>
      <c r="F1043" s="27"/>
    </row>
    <row r="1044" spans="1:6" x14ac:dyDescent="0.3">
      <c r="A1044" s="27" t="s">
        <v>1515</v>
      </c>
      <c r="B1044" s="27" t="s">
        <v>33</v>
      </c>
      <c r="C1044">
        <v>1106.6500000000001</v>
      </c>
      <c r="D1044">
        <v>1125</v>
      </c>
      <c r="E1044" s="27" t="s">
        <v>1516</v>
      </c>
      <c r="F1044" s="27"/>
    </row>
    <row r="1045" spans="1:6" x14ac:dyDescent="0.3">
      <c r="A1045" s="27" t="s">
        <v>1469</v>
      </c>
      <c r="B1045" s="27" t="s">
        <v>10</v>
      </c>
      <c r="C1045">
        <v>63.55</v>
      </c>
      <c r="D1045">
        <v>64.599999999999994</v>
      </c>
      <c r="E1045" s="27" t="s">
        <v>1521</v>
      </c>
      <c r="F1045" s="27"/>
    </row>
    <row r="1046" spans="1:6" x14ac:dyDescent="0.3">
      <c r="A1046" s="27" t="s">
        <v>1523</v>
      </c>
      <c r="B1046" s="27" t="s">
        <v>33</v>
      </c>
      <c r="C1046">
        <v>121</v>
      </c>
      <c r="D1046">
        <v>123</v>
      </c>
      <c r="E1046" s="27" t="s">
        <v>1521</v>
      </c>
      <c r="F1046" s="27"/>
    </row>
    <row r="1047" spans="1:6" x14ac:dyDescent="0.3">
      <c r="A1047" s="27" t="s">
        <v>1524</v>
      </c>
      <c r="B1047" s="27" t="s">
        <v>11</v>
      </c>
      <c r="C1047">
        <v>9.09</v>
      </c>
      <c r="D1047">
        <v>9.24</v>
      </c>
      <c r="E1047" s="27" t="s">
        <v>1521</v>
      </c>
      <c r="F1047" s="27"/>
    </row>
    <row r="1048" spans="1:6" x14ac:dyDescent="0.3">
      <c r="A1048" s="27" t="s">
        <v>1520</v>
      </c>
      <c r="B1048" s="27" t="s">
        <v>328</v>
      </c>
      <c r="C1048">
        <v>1.21</v>
      </c>
      <c r="D1048">
        <v>1.23</v>
      </c>
      <c r="E1048" s="27" t="s">
        <v>1521</v>
      </c>
      <c r="F1048" s="27"/>
    </row>
    <row r="1049" spans="1:6" x14ac:dyDescent="0.3">
      <c r="A1049" s="27" t="s">
        <v>683</v>
      </c>
      <c r="B1049" s="27" t="s">
        <v>33</v>
      </c>
      <c r="C1049">
        <v>7.33</v>
      </c>
      <c r="D1049">
        <v>7.45</v>
      </c>
      <c r="E1049" s="27" t="s">
        <v>3367</v>
      </c>
      <c r="F1049" s="27"/>
    </row>
    <row r="1050" spans="1:6" x14ac:dyDescent="0.3">
      <c r="A1050" s="27" t="s">
        <v>1547</v>
      </c>
      <c r="B1050" s="27" t="s">
        <v>10</v>
      </c>
      <c r="C1050">
        <v>1004.15</v>
      </c>
      <c r="D1050">
        <v>1020.6</v>
      </c>
      <c r="E1050" s="27" t="s">
        <v>3367</v>
      </c>
      <c r="F1050" s="27"/>
    </row>
    <row r="1051" spans="1:6" x14ac:dyDescent="0.3">
      <c r="A1051" s="27" t="s">
        <v>1526</v>
      </c>
      <c r="B1051" s="27" t="s">
        <v>11</v>
      </c>
      <c r="C1051">
        <v>318.8</v>
      </c>
      <c r="D1051">
        <v>324</v>
      </c>
      <c r="E1051" s="27" t="s">
        <v>1527</v>
      </c>
      <c r="F1051" s="27"/>
    </row>
    <row r="1052" spans="1:6" x14ac:dyDescent="0.3">
      <c r="A1052" s="27" t="s">
        <v>1619</v>
      </c>
      <c r="B1052" s="27" t="s">
        <v>10</v>
      </c>
      <c r="C1052">
        <v>405.15</v>
      </c>
      <c r="D1052">
        <v>411.7</v>
      </c>
      <c r="E1052" s="27" t="s">
        <v>1530</v>
      </c>
      <c r="F1052" s="27"/>
    </row>
    <row r="1053" spans="1:6" x14ac:dyDescent="0.3">
      <c r="A1053" s="27" t="s">
        <v>1529</v>
      </c>
      <c r="B1053" s="27" t="s">
        <v>33</v>
      </c>
      <c r="C1053">
        <v>105.2</v>
      </c>
      <c r="D1053">
        <v>106.9</v>
      </c>
      <c r="E1053" s="27" t="s">
        <v>1530</v>
      </c>
      <c r="F1053" s="27"/>
    </row>
    <row r="1054" spans="1:6" x14ac:dyDescent="0.3">
      <c r="A1054" s="27" t="s">
        <v>1531</v>
      </c>
      <c r="B1054" s="27" t="s">
        <v>11</v>
      </c>
      <c r="C1054">
        <v>5.55</v>
      </c>
      <c r="D1054">
        <v>5.64</v>
      </c>
      <c r="E1054" s="27" t="s">
        <v>1530</v>
      </c>
      <c r="F1054" s="27"/>
    </row>
    <row r="1055" spans="1:6" x14ac:dyDescent="0.3">
      <c r="A1055" s="27" t="s">
        <v>1540</v>
      </c>
      <c r="B1055" s="27" t="s">
        <v>11</v>
      </c>
      <c r="C1055">
        <v>301.89999999999998</v>
      </c>
      <c r="D1055">
        <v>306.75</v>
      </c>
      <c r="E1055" s="27" t="s">
        <v>1533</v>
      </c>
      <c r="F1055" s="27"/>
    </row>
    <row r="1056" spans="1:6" x14ac:dyDescent="0.3">
      <c r="A1056" s="27" t="s">
        <v>1535</v>
      </c>
      <c r="B1056" s="27" t="s">
        <v>328</v>
      </c>
      <c r="C1056">
        <v>1.86</v>
      </c>
      <c r="D1056">
        <v>1.89</v>
      </c>
      <c r="E1056" s="27" t="s">
        <v>1533</v>
      </c>
      <c r="F1056" s="27"/>
    </row>
    <row r="1057" spans="1:6" x14ac:dyDescent="0.3">
      <c r="A1057" s="27" t="s">
        <v>1537</v>
      </c>
      <c r="B1057" s="27" t="s">
        <v>33</v>
      </c>
      <c r="C1057">
        <v>0.62</v>
      </c>
      <c r="D1057">
        <v>0.63</v>
      </c>
      <c r="E1057" s="27" t="s">
        <v>1533</v>
      </c>
      <c r="F1057" s="27"/>
    </row>
    <row r="1058" spans="1:6" x14ac:dyDescent="0.3">
      <c r="A1058" s="27" t="s">
        <v>1443</v>
      </c>
      <c r="B1058" s="27" t="s">
        <v>10</v>
      </c>
      <c r="C1058">
        <v>658.75</v>
      </c>
      <c r="D1058">
        <v>669.35</v>
      </c>
      <c r="E1058" s="27" t="s">
        <v>1533</v>
      </c>
      <c r="F1058" s="27"/>
    </row>
    <row r="1059" spans="1:6" x14ac:dyDescent="0.3">
      <c r="A1059" s="27" t="s">
        <v>1532</v>
      </c>
      <c r="B1059" s="27" t="s">
        <v>11</v>
      </c>
      <c r="C1059">
        <v>71.5</v>
      </c>
      <c r="D1059">
        <v>72.650000000000006</v>
      </c>
      <c r="E1059" s="27" t="s">
        <v>1533</v>
      </c>
      <c r="F1059" s="27"/>
    </row>
    <row r="1060" spans="1:6" x14ac:dyDescent="0.3">
      <c r="A1060" s="27" t="s">
        <v>1541</v>
      </c>
      <c r="B1060" s="27" t="s">
        <v>11</v>
      </c>
      <c r="C1060">
        <v>597.85</v>
      </c>
      <c r="D1060">
        <v>607.45000000000005</v>
      </c>
      <c r="E1060" s="27" t="s">
        <v>1533</v>
      </c>
      <c r="F1060" s="27"/>
    </row>
    <row r="1061" spans="1:6" x14ac:dyDescent="0.3">
      <c r="A1061" s="27" t="s">
        <v>1538</v>
      </c>
      <c r="B1061" s="27" t="s">
        <v>11</v>
      </c>
      <c r="C1061">
        <v>83.65</v>
      </c>
      <c r="D1061">
        <v>85</v>
      </c>
      <c r="E1061" s="27" t="s">
        <v>1533</v>
      </c>
      <c r="F1061" s="27"/>
    </row>
    <row r="1062" spans="1:6" x14ac:dyDescent="0.3">
      <c r="A1062" s="27" t="s">
        <v>1471</v>
      </c>
      <c r="B1062" s="27" t="s">
        <v>10</v>
      </c>
      <c r="C1062">
        <v>357.85</v>
      </c>
      <c r="D1062">
        <v>363.6</v>
      </c>
      <c r="E1062" s="27" t="s">
        <v>1533</v>
      </c>
      <c r="F1062" s="27"/>
    </row>
    <row r="1063" spans="1:6" x14ac:dyDescent="0.3">
      <c r="A1063" s="27" t="s">
        <v>1490</v>
      </c>
      <c r="B1063" s="27" t="s">
        <v>10</v>
      </c>
      <c r="C1063">
        <v>285.39999999999998</v>
      </c>
      <c r="D1063">
        <v>290</v>
      </c>
      <c r="E1063" s="27" t="s">
        <v>1533</v>
      </c>
      <c r="F1063" s="27"/>
    </row>
    <row r="1064" spans="1:6" x14ac:dyDescent="0.3">
      <c r="A1064" s="27" t="s">
        <v>1534</v>
      </c>
      <c r="B1064" s="27" t="s">
        <v>11</v>
      </c>
      <c r="C1064">
        <v>130.1</v>
      </c>
      <c r="D1064">
        <v>132.19999999999999</v>
      </c>
      <c r="E1064" s="27" t="s">
        <v>1533</v>
      </c>
      <c r="F1064" s="27"/>
    </row>
    <row r="1065" spans="1:6" x14ac:dyDescent="0.3">
      <c r="A1065" s="27" t="s">
        <v>1545</v>
      </c>
      <c r="B1065" s="27" t="s">
        <v>11</v>
      </c>
      <c r="C1065">
        <v>156.05000000000001</v>
      </c>
      <c r="D1065">
        <v>158.55000000000001</v>
      </c>
      <c r="E1065" s="27" t="s">
        <v>1544</v>
      </c>
      <c r="F1065" s="27"/>
    </row>
    <row r="1066" spans="1:6" x14ac:dyDescent="0.3">
      <c r="A1066" s="27" t="s">
        <v>1546</v>
      </c>
      <c r="B1066" s="27" t="s">
        <v>33</v>
      </c>
      <c r="C1066">
        <v>34.450000000000003</v>
      </c>
      <c r="D1066">
        <v>35</v>
      </c>
      <c r="E1066" s="27" t="s">
        <v>1544</v>
      </c>
      <c r="F1066" s="27"/>
    </row>
    <row r="1067" spans="1:6" x14ac:dyDescent="0.3">
      <c r="A1067" s="27" t="s">
        <v>1543</v>
      </c>
      <c r="B1067" s="27" t="s">
        <v>11</v>
      </c>
      <c r="C1067">
        <v>352.55</v>
      </c>
      <c r="D1067">
        <v>358.2</v>
      </c>
      <c r="E1067" s="27" t="s">
        <v>1544</v>
      </c>
      <c r="F1067" s="27"/>
    </row>
    <row r="1068" spans="1:6" x14ac:dyDescent="0.3">
      <c r="A1068" s="27" t="s">
        <v>1662</v>
      </c>
      <c r="B1068" s="27" t="s">
        <v>10</v>
      </c>
      <c r="C1068">
        <v>342.75</v>
      </c>
      <c r="D1068">
        <v>348.2</v>
      </c>
      <c r="E1068" s="27" t="s">
        <v>1548</v>
      </c>
      <c r="F1068" s="27"/>
    </row>
    <row r="1069" spans="1:6" x14ac:dyDescent="0.3">
      <c r="A1069" s="27" t="s">
        <v>1549</v>
      </c>
      <c r="B1069" s="27" t="s">
        <v>11</v>
      </c>
      <c r="C1069">
        <v>50.25</v>
      </c>
      <c r="D1069">
        <v>51.05</v>
      </c>
      <c r="E1069" s="27" t="s">
        <v>1548</v>
      </c>
      <c r="F1069" s="27"/>
    </row>
    <row r="1070" spans="1:6" x14ac:dyDescent="0.3">
      <c r="A1070" s="27" t="s">
        <v>1550</v>
      </c>
      <c r="B1070" s="27" t="s">
        <v>33</v>
      </c>
      <c r="C1070">
        <v>15.75</v>
      </c>
      <c r="D1070">
        <v>16</v>
      </c>
      <c r="E1070" s="27" t="s">
        <v>1548</v>
      </c>
      <c r="F1070" s="27"/>
    </row>
    <row r="1071" spans="1:6" x14ac:dyDescent="0.3">
      <c r="A1071" s="27" t="s">
        <v>1551</v>
      </c>
      <c r="B1071" s="27" t="s">
        <v>10</v>
      </c>
      <c r="C1071">
        <v>288.60000000000002</v>
      </c>
      <c r="D1071">
        <v>293.2</v>
      </c>
      <c r="E1071" s="27" t="s">
        <v>1548</v>
      </c>
      <c r="F1071" s="27"/>
    </row>
    <row r="1072" spans="1:6" x14ac:dyDescent="0.3">
      <c r="A1072" s="27" t="s">
        <v>1554</v>
      </c>
      <c r="B1072" s="27" t="s">
        <v>11</v>
      </c>
      <c r="C1072">
        <v>1368.9</v>
      </c>
      <c r="D1072">
        <v>1390.55</v>
      </c>
      <c r="E1072" s="27" t="s">
        <v>1553</v>
      </c>
      <c r="F1072" s="27"/>
    </row>
    <row r="1073" spans="1:6" x14ac:dyDescent="0.3">
      <c r="A1073" s="27" t="s">
        <v>1528</v>
      </c>
      <c r="B1073" s="27" t="s">
        <v>10</v>
      </c>
      <c r="C1073">
        <v>739</v>
      </c>
      <c r="D1073">
        <v>750.7</v>
      </c>
      <c r="E1073" s="27" t="s">
        <v>1553</v>
      </c>
      <c r="F1073" s="27"/>
    </row>
    <row r="1074" spans="1:6" x14ac:dyDescent="0.3">
      <c r="A1074" s="27" t="s">
        <v>1552</v>
      </c>
      <c r="B1074" s="27" t="s">
        <v>29</v>
      </c>
      <c r="C1074">
        <v>18.95</v>
      </c>
      <c r="D1074">
        <v>19.25</v>
      </c>
      <c r="E1074" s="27" t="s">
        <v>1553</v>
      </c>
      <c r="F1074" s="27"/>
    </row>
    <row r="1075" spans="1:6" x14ac:dyDescent="0.3">
      <c r="A1075" s="27" t="s">
        <v>1556</v>
      </c>
      <c r="B1075" s="27" t="s">
        <v>10</v>
      </c>
      <c r="C1075">
        <v>860.5</v>
      </c>
      <c r="D1075">
        <v>874.05</v>
      </c>
      <c r="E1075" s="27" t="s">
        <v>1557</v>
      </c>
      <c r="F1075" s="27"/>
    </row>
    <row r="1076" spans="1:6" x14ac:dyDescent="0.3">
      <c r="A1076" s="27" t="s">
        <v>1561</v>
      </c>
      <c r="B1076" s="27" t="s">
        <v>10</v>
      </c>
      <c r="C1076">
        <v>899.8</v>
      </c>
      <c r="D1076">
        <v>913.95</v>
      </c>
      <c r="E1076" s="27" t="s">
        <v>1557</v>
      </c>
      <c r="F1076" s="27"/>
    </row>
    <row r="1077" spans="1:6" x14ac:dyDescent="0.3">
      <c r="A1077" s="27" t="s">
        <v>1558</v>
      </c>
      <c r="B1077" s="27" t="s">
        <v>10</v>
      </c>
      <c r="C1077">
        <v>89.4</v>
      </c>
      <c r="D1077">
        <v>90.8</v>
      </c>
      <c r="E1077" s="27" t="s">
        <v>1557</v>
      </c>
      <c r="F1077" s="27"/>
    </row>
    <row r="1078" spans="1:6" x14ac:dyDescent="0.3">
      <c r="A1078" s="27" t="s">
        <v>1559</v>
      </c>
      <c r="B1078" s="27" t="s">
        <v>11</v>
      </c>
      <c r="C1078">
        <v>159</v>
      </c>
      <c r="D1078">
        <v>161.5</v>
      </c>
      <c r="E1078" s="27" t="s">
        <v>1557</v>
      </c>
      <c r="F1078" s="27"/>
    </row>
    <row r="1079" spans="1:6" x14ac:dyDescent="0.3">
      <c r="A1079" s="27" t="s">
        <v>1560</v>
      </c>
      <c r="B1079" s="27" t="s">
        <v>10</v>
      </c>
      <c r="C1079">
        <v>418.45</v>
      </c>
      <c r="D1079">
        <v>425</v>
      </c>
      <c r="E1079" s="27" t="s">
        <v>1557</v>
      </c>
      <c r="F1079" s="27"/>
    </row>
    <row r="1080" spans="1:6" x14ac:dyDescent="0.3">
      <c r="A1080" s="27" t="s">
        <v>1620</v>
      </c>
      <c r="B1080" s="27" t="s">
        <v>11</v>
      </c>
      <c r="C1080">
        <v>216.15</v>
      </c>
      <c r="D1080">
        <v>219.55</v>
      </c>
      <c r="E1080" s="27" t="s">
        <v>1557</v>
      </c>
      <c r="F1080" s="27"/>
    </row>
    <row r="1081" spans="1:6" x14ac:dyDescent="0.3">
      <c r="A1081" s="27" t="s">
        <v>1563</v>
      </c>
      <c r="B1081" s="27" t="s">
        <v>33</v>
      </c>
      <c r="C1081">
        <v>38.4</v>
      </c>
      <c r="D1081">
        <v>39</v>
      </c>
      <c r="E1081" s="27" t="s">
        <v>1564</v>
      </c>
      <c r="F1081" s="27"/>
    </row>
    <row r="1082" spans="1:6" x14ac:dyDescent="0.3">
      <c r="A1082" s="27" t="s">
        <v>1566</v>
      </c>
      <c r="B1082" s="27" t="s">
        <v>11</v>
      </c>
      <c r="C1082">
        <v>153.5</v>
      </c>
      <c r="D1082">
        <v>155.9</v>
      </c>
      <c r="E1082" s="27" t="s">
        <v>1564</v>
      </c>
      <c r="F1082" s="27"/>
    </row>
    <row r="1083" spans="1:6" x14ac:dyDescent="0.3">
      <c r="A1083" s="27" t="s">
        <v>1567</v>
      </c>
      <c r="B1083" s="27" t="s">
        <v>33</v>
      </c>
      <c r="C1083">
        <v>22.4</v>
      </c>
      <c r="D1083">
        <v>22.75</v>
      </c>
      <c r="E1083" s="27" t="s">
        <v>1564</v>
      </c>
      <c r="F1083" s="27"/>
    </row>
    <row r="1084" spans="1:6" x14ac:dyDescent="0.3">
      <c r="A1084" s="27" t="s">
        <v>1568</v>
      </c>
      <c r="B1084" s="27" t="s">
        <v>29</v>
      </c>
      <c r="C1084">
        <v>128</v>
      </c>
      <c r="D1084">
        <v>130</v>
      </c>
      <c r="E1084" s="27" t="s">
        <v>1564</v>
      </c>
      <c r="F1084" s="27"/>
    </row>
    <row r="1085" spans="1:6" x14ac:dyDescent="0.3">
      <c r="A1085" s="27" t="s">
        <v>1565</v>
      </c>
      <c r="B1085" s="27" t="s">
        <v>328</v>
      </c>
      <c r="C1085">
        <v>25.6</v>
      </c>
      <c r="D1085">
        <v>26</v>
      </c>
      <c r="E1085" s="27" t="s">
        <v>1564</v>
      </c>
      <c r="F1085" s="27"/>
    </row>
    <row r="1086" spans="1:6" x14ac:dyDescent="0.3">
      <c r="A1086" s="27" t="s">
        <v>1569</v>
      </c>
      <c r="B1086" s="27" t="s">
        <v>11</v>
      </c>
      <c r="C1086">
        <v>41.85</v>
      </c>
      <c r="D1086">
        <v>42.5</v>
      </c>
      <c r="E1086" s="27" t="s">
        <v>1570</v>
      </c>
      <c r="F1086" s="27"/>
    </row>
    <row r="1087" spans="1:6" x14ac:dyDescent="0.3">
      <c r="A1087" s="27" t="s">
        <v>1289</v>
      </c>
      <c r="B1087" s="27" t="s">
        <v>10</v>
      </c>
      <c r="C1087">
        <v>248.75</v>
      </c>
      <c r="D1087">
        <v>252.6</v>
      </c>
      <c r="E1087" s="27" t="s">
        <v>1570</v>
      </c>
      <c r="F1087" s="27"/>
    </row>
    <row r="1088" spans="1:6" x14ac:dyDescent="0.3">
      <c r="A1088" s="27" t="s">
        <v>1652</v>
      </c>
      <c r="B1088" s="27" t="s">
        <v>10</v>
      </c>
      <c r="C1088">
        <v>770.85</v>
      </c>
      <c r="D1088">
        <v>782.7</v>
      </c>
      <c r="E1088" s="27" t="s">
        <v>1573</v>
      </c>
      <c r="F1088" s="27"/>
    </row>
    <row r="1089" spans="1:6" x14ac:dyDescent="0.3">
      <c r="A1089" s="27" t="s">
        <v>1575</v>
      </c>
      <c r="B1089" s="27" t="s">
        <v>35</v>
      </c>
      <c r="C1089">
        <v>3.25</v>
      </c>
      <c r="D1089">
        <v>3.3</v>
      </c>
      <c r="E1089" s="27" t="s">
        <v>1573</v>
      </c>
      <c r="F1089" s="27"/>
    </row>
    <row r="1090" spans="1:6" x14ac:dyDescent="0.3">
      <c r="A1090" s="27" t="s">
        <v>1572</v>
      </c>
      <c r="B1090" s="27" t="s">
        <v>33</v>
      </c>
      <c r="C1090">
        <v>1.95</v>
      </c>
      <c r="D1090">
        <v>1.98</v>
      </c>
      <c r="E1090" s="27" t="s">
        <v>1573</v>
      </c>
      <c r="F1090" s="27"/>
    </row>
    <row r="1091" spans="1:6" x14ac:dyDescent="0.3">
      <c r="A1091" s="27" t="s">
        <v>1577</v>
      </c>
      <c r="B1091" s="27" t="s">
        <v>33</v>
      </c>
      <c r="C1091">
        <v>363.9</v>
      </c>
      <c r="D1091">
        <v>369.5</v>
      </c>
      <c r="E1091" s="27" t="s">
        <v>1573</v>
      </c>
      <c r="F1091" s="27"/>
    </row>
    <row r="1092" spans="1:6" x14ac:dyDescent="0.3">
      <c r="A1092" s="27" t="s">
        <v>1574</v>
      </c>
      <c r="B1092" s="27" t="s">
        <v>11</v>
      </c>
      <c r="C1092">
        <v>11.04</v>
      </c>
      <c r="D1092">
        <v>11.21</v>
      </c>
      <c r="E1092" s="27" t="s">
        <v>1573</v>
      </c>
      <c r="F1092" s="27"/>
    </row>
    <row r="1093" spans="1:6" x14ac:dyDescent="0.3">
      <c r="A1093" s="27" t="s">
        <v>1576</v>
      </c>
      <c r="B1093" s="27" t="s">
        <v>11</v>
      </c>
      <c r="C1093">
        <v>51.9</v>
      </c>
      <c r="D1093">
        <v>52.7</v>
      </c>
      <c r="E1093" s="27" t="s">
        <v>1573</v>
      </c>
      <c r="F1093" s="27"/>
    </row>
    <row r="1094" spans="1:6" x14ac:dyDescent="0.3">
      <c r="A1094" s="27" t="s">
        <v>1580</v>
      </c>
      <c r="B1094" s="27" t="s">
        <v>11</v>
      </c>
      <c r="C1094">
        <v>78.2</v>
      </c>
      <c r="D1094">
        <v>79.400000000000006</v>
      </c>
      <c r="E1094" s="27" t="s">
        <v>1581</v>
      </c>
      <c r="F1094" s="27"/>
    </row>
    <row r="1095" spans="1:6" x14ac:dyDescent="0.3">
      <c r="A1095" s="27" t="s">
        <v>1586</v>
      </c>
      <c r="B1095" s="27" t="s">
        <v>10</v>
      </c>
      <c r="C1095">
        <v>41840.300000000003</v>
      </c>
      <c r="D1095">
        <v>42475</v>
      </c>
      <c r="E1095" s="27" t="s">
        <v>1584</v>
      </c>
      <c r="F1095" s="27"/>
    </row>
    <row r="1096" spans="1:6" x14ac:dyDescent="0.3">
      <c r="A1096" s="27" t="s">
        <v>1585</v>
      </c>
      <c r="B1096" s="27" t="s">
        <v>328</v>
      </c>
      <c r="C1096">
        <v>19.7</v>
      </c>
      <c r="D1096">
        <v>20</v>
      </c>
      <c r="E1096" s="27" t="s">
        <v>1584</v>
      </c>
      <c r="F1096" s="27"/>
    </row>
    <row r="1097" spans="1:6" x14ac:dyDescent="0.3">
      <c r="A1097" s="27" t="s">
        <v>1583</v>
      </c>
      <c r="B1097" s="27" t="s">
        <v>33</v>
      </c>
      <c r="C1097">
        <v>16.399999999999999</v>
      </c>
      <c r="D1097">
        <v>16.649999999999999</v>
      </c>
      <c r="E1097" s="27" t="s">
        <v>1584</v>
      </c>
      <c r="F1097" s="27"/>
    </row>
    <row r="1098" spans="1:6" x14ac:dyDescent="0.3">
      <c r="A1098" s="27" t="s">
        <v>1592</v>
      </c>
      <c r="B1098" s="27" t="s">
        <v>328</v>
      </c>
      <c r="C1098">
        <v>1.99</v>
      </c>
      <c r="D1098">
        <v>2.02</v>
      </c>
      <c r="E1098" s="27" t="s">
        <v>1589</v>
      </c>
      <c r="F1098" s="27"/>
    </row>
    <row r="1099" spans="1:6" x14ac:dyDescent="0.3">
      <c r="A1099" s="27" t="s">
        <v>1594</v>
      </c>
      <c r="B1099" s="27" t="s">
        <v>11</v>
      </c>
      <c r="C1099">
        <v>11.92</v>
      </c>
      <c r="D1099">
        <v>12.1</v>
      </c>
      <c r="E1099" s="27" t="s">
        <v>1589</v>
      </c>
      <c r="F1099" s="27"/>
    </row>
    <row r="1100" spans="1:6" x14ac:dyDescent="0.3">
      <c r="A1100" s="27" t="s">
        <v>1591</v>
      </c>
      <c r="B1100" s="27" t="s">
        <v>328</v>
      </c>
      <c r="C1100">
        <v>1325</v>
      </c>
      <c r="D1100">
        <v>1345</v>
      </c>
      <c r="E1100" s="27" t="s">
        <v>1589</v>
      </c>
      <c r="F1100" s="27"/>
    </row>
    <row r="1101" spans="1:6" x14ac:dyDescent="0.3">
      <c r="A1101" s="27" t="s">
        <v>1593</v>
      </c>
      <c r="B1101" s="27" t="s">
        <v>29</v>
      </c>
      <c r="C1101">
        <v>69.75</v>
      </c>
      <c r="D1101">
        <v>70.8</v>
      </c>
      <c r="E1101" s="27" t="s">
        <v>1589</v>
      </c>
      <c r="F1101" s="27"/>
    </row>
    <row r="1102" spans="1:6" x14ac:dyDescent="0.3">
      <c r="A1102" s="27" t="s">
        <v>1590</v>
      </c>
      <c r="B1102" s="27" t="s">
        <v>11</v>
      </c>
      <c r="C1102">
        <v>109.5</v>
      </c>
      <c r="D1102">
        <v>111.15</v>
      </c>
      <c r="E1102" s="27" t="s">
        <v>1589</v>
      </c>
      <c r="F1102" s="27"/>
    </row>
    <row r="1103" spans="1:6" x14ac:dyDescent="0.3">
      <c r="A1103" s="27" t="s">
        <v>1595</v>
      </c>
      <c r="B1103" s="27" t="s">
        <v>29</v>
      </c>
      <c r="C1103">
        <v>33.4</v>
      </c>
      <c r="D1103">
        <v>33.9</v>
      </c>
      <c r="E1103" s="27" t="s">
        <v>1596</v>
      </c>
      <c r="F1103" s="27"/>
    </row>
    <row r="1104" spans="1:6" x14ac:dyDescent="0.3">
      <c r="A1104" s="27" t="s">
        <v>1597</v>
      </c>
      <c r="B1104" s="27" t="s">
        <v>10</v>
      </c>
      <c r="C1104">
        <v>2911.9</v>
      </c>
      <c r="D1104">
        <v>2955.55</v>
      </c>
      <c r="E1104" s="27" t="s">
        <v>1596</v>
      </c>
      <c r="F1104" s="27"/>
    </row>
    <row r="1105" spans="1:6" x14ac:dyDescent="0.3">
      <c r="A1105" s="27" t="s">
        <v>1606</v>
      </c>
      <c r="B1105" s="27" t="s">
        <v>11</v>
      </c>
      <c r="C1105">
        <v>33.5</v>
      </c>
      <c r="D1105">
        <v>34</v>
      </c>
      <c r="E1105" s="27" t="s">
        <v>1599</v>
      </c>
      <c r="F1105" s="27"/>
    </row>
    <row r="1106" spans="1:6" x14ac:dyDescent="0.3">
      <c r="A1106" s="27" t="s">
        <v>1601</v>
      </c>
      <c r="B1106" s="27" t="s">
        <v>10</v>
      </c>
      <c r="C1106">
        <v>247.5</v>
      </c>
      <c r="D1106">
        <v>251.2</v>
      </c>
      <c r="E1106" s="27" t="s">
        <v>1599</v>
      </c>
      <c r="F1106" s="27"/>
    </row>
    <row r="1107" spans="1:6" x14ac:dyDescent="0.3">
      <c r="A1107" s="27" t="s">
        <v>1605</v>
      </c>
      <c r="B1107" s="27" t="s">
        <v>33</v>
      </c>
      <c r="C1107">
        <v>80.8</v>
      </c>
      <c r="D1107">
        <v>82</v>
      </c>
      <c r="E1107" s="27" t="s">
        <v>1599</v>
      </c>
      <c r="F1107" s="27"/>
    </row>
    <row r="1108" spans="1:6" x14ac:dyDescent="0.3">
      <c r="A1108" s="27" t="s">
        <v>1603</v>
      </c>
      <c r="B1108" s="27" t="s">
        <v>33</v>
      </c>
      <c r="C1108">
        <v>83.95</v>
      </c>
      <c r="D1108">
        <v>85.2</v>
      </c>
      <c r="E1108" s="27" t="s">
        <v>1599</v>
      </c>
      <c r="F1108" s="27"/>
    </row>
    <row r="1109" spans="1:6" x14ac:dyDescent="0.3">
      <c r="A1109" s="27" t="s">
        <v>1600</v>
      </c>
      <c r="B1109" s="27" t="s">
        <v>29</v>
      </c>
      <c r="C1109">
        <v>4.6900000000000004</v>
      </c>
      <c r="D1109">
        <v>4.76</v>
      </c>
      <c r="E1109" s="27" t="s">
        <v>1599</v>
      </c>
      <c r="F1109" s="27"/>
    </row>
    <row r="1110" spans="1:6" x14ac:dyDescent="0.3">
      <c r="A1110" s="27" t="s">
        <v>1607</v>
      </c>
      <c r="B1110" s="27" t="s">
        <v>328</v>
      </c>
      <c r="C1110">
        <v>0.67</v>
      </c>
      <c r="D1110">
        <v>0.68</v>
      </c>
      <c r="E1110" s="27" t="s">
        <v>1599</v>
      </c>
      <c r="F1110" s="27"/>
    </row>
    <row r="1111" spans="1:6" x14ac:dyDescent="0.3">
      <c r="A1111" s="27" t="s">
        <v>1604</v>
      </c>
      <c r="B1111" s="27" t="s">
        <v>29</v>
      </c>
      <c r="C1111">
        <v>77.05</v>
      </c>
      <c r="D1111">
        <v>78.2</v>
      </c>
      <c r="E1111" s="27" t="s">
        <v>1599</v>
      </c>
      <c r="F1111" s="27"/>
    </row>
    <row r="1112" spans="1:6" x14ac:dyDescent="0.3">
      <c r="A1112" s="27" t="s">
        <v>1684</v>
      </c>
      <c r="B1112" s="27" t="s">
        <v>10</v>
      </c>
      <c r="C1112">
        <v>125</v>
      </c>
      <c r="D1112">
        <v>126.85</v>
      </c>
      <c r="E1112" s="27" t="s">
        <v>1609</v>
      </c>
      <c r="F1112" s="27"/>
    </row>
    <row r="1113" spans="1:6" x14ac:dyDescent="0.3">
      <c r="A1113" s="27" t="s">
        <v>1608</v>
      </c>
      <c r="B1113" s="27" t="s">
        <v>11</v>
      </c>
      <c r="C1113">
        <v>122</v>
      </c>
      <c r="D1113">
        <v>123.8</v>
      </c>
      <c r="E1113" s="27" t="s">
        <v>1609</v>
      </c>
      <c r="F1113" s="27"/>
    </row>
    <row r="1114" spans="1:6" x14ac:dyDescent="0.3">
      <c r="A1114" s="27" t="s">
        <v>1610</v>
      </c>
      <c r="B1114" s="27" t="s">
        <v>35</v>
      </c>
      <c r="C1114">
        <v>1.35</v>
      </c>
      <c r="D1114">
        <v>1.37</v>
      </c>
      <c r="E1114" s="27" t="s">
        <v>1609</v>
      </c>
      <c r="F1114" s="27"/>
    </row>
    <row r="1115" spans="1:6" x14ac:dyDescent="0.3">
      <c r="A1115" s="27" t="s">
        <v>1615</v>
      </c>
      <c r="B1115" s="27" t="s">
        <v>328</v>
      </c>
      <c r="C1115">
        <v>12.27</v>
      </c>
      <c r="D1115">
        <v>12.45</v>
      </c>
      <c r="E1115" s="27" t="s">
        <v>1612</v>
      </c>
      <c r="F1115" s="27"/>
    </row>
    <row r="1116" spans="1:6" x14ac:dyDescent="0.3">
      <c r="A1116" s="27" t="s">
        <v>1611</v>
      </c>
      <c r="B1116" s="27" t="s">
        <v>11</v>
      </c>
      <c r="C1116">
        <v>34</v>
      </c>
      <c r="D1116">
        <v>34.5</v>
      </c>
      <c r="E1116" s="27" t="s">
        <v>1612</v>
      </c>
      <c r="F1116" s="27"/>
    </row>
    <row r="1117" spans="1:6" x14ac:dyDescent="0.3">
      <c r="A1117" s="27" t="s">
        <v>1613</v>
      </c>
      <c r="B1117" s="27" t="s">
        <v>10</v>
      </c>
      <c r="C1117">
        <v>163.80000000000001</v>
      </c>
      <c r="D1117">
        <v>166.2</v>
      </c>
      <c r="E1117" s="27" t="s">
        <v>1612</v>
      </c>
      <c r="F1117" s="27"/>
    </row>
    <row r="1118" spans="1:6" x14ac:dyDescent="0.3">
      <c r="A1118" s="27" t="s">
        <v>1618</v>
      </c>
      <c r="B1118" s="27" t="s">
        <v>22</v>
      </c>
      <c r="C1118">
        <v>700.75</v>
      </c>
      <c r="D1118">
        <v>711</v>
      </c>
      <c r="E1118" s="27" t="s">
        <v>1617</v>
      </c>
      <c r="F1118" s="27"/>
    </row>
    <row r="1119" spans="1:6" x14ac:dyDescent="0.3">
      <c r="A1119" s="27" t="s">
        <v>1860</v>
      </c>
      <c r="B1119" s="27" t="s">
        <v>10</v>
      </c>
      <c r="C1119">
        <v>75.599999999999994</v>
      </c>
      <c r="D1119">
        <v>76.7</v>
      </c>
      <c r="E1119" s="27" t="s">
        <v>1617</v>
      </c>
      <c r="F1119" s="27"/>
    </row>
    <row r="1120" spans="1:6" x14ac:dyDescent="0.3">
      <c r="A1120" s="27" t="s">
        <v>1073</v>
      </c>
      <c r="B1120" s="27" t="s">
        <v>33</v>
      </c>
      <c r="C1120">
        <v>61.6</v>
      </c>
      <c r="D1120">
        <v>62.5</v>
      </c>
      <c r="E1120" s="27" t="s">
        <v>1617</v>
      </c>
      <c r="F1120" s="27"/>
    </row>
    <row r="1121" spans="1:6" x14ac:dyDescent="0.3">
      <c r="A1121" s="27" t="s">
        <v>1622</v>
      </c>
      <c r="B1121" s="27" t="s">
        <v>11</v>
      </c>
      <c r="C1121">
        <v>406.75</v>
      </c>
      <c r="D1121">
        <v>412.7</v>
      </c>
      <c r="E1121" s="27" t="s">
        <v>1617</v>
      </c>
      <c r="F1121" s="27"/>
    </row>
    <row r="1122" spans="1:6" x14ac:dyDescent="0.3">
      <c r="A1122" s="27" t="s">
        <v>1621</v>
      </c>
      <c r="B1122" s="27" t="s">
        <v>33</v>
      </c>
      <c r="C1122">
        <v>194.6</v>
      </c>
      <c r="D1122">
        <v>197.45</v>
      </c>
      <c r="E1122" s="27" t="s">
        <v>1617</v>
      </c>
      <c r="F1122" s="27"/>
    </row>
    <row r="1123" spans="1:6" x14ac:dyDescent="0.3">
      <c r="A1123" s="27" t="s">
        <v>1432</v>
      </c>
      <c r="B1123" s="27" t="s">
        <v>11</v>
      </c>
      <c r="C1123">
        <v>346.95</v>
      </c>
      <c r="D1123">
        <v>352</v>
      </c>
      <c r="E1123" s="27" t="s">
        <v>1617</v>
      </c>
      <c r="F1123" s="27"/>
    </row>
    <row r="1124" spans="1:6" x14ac:dyDescent="0.3">
      <c r="A1124" s="27" t="s">
        <v>1961</v>
      </c>
      <c r="B1124" s="27" t="s">
        <v>33</v>
      </c>
      <c r="C1124">
        <v>680.35</v>
      </c>
      <c r="D1124">
        <v>690.2</v>
      </c>
      <c r="E1124" s="27" t="s">
        <v>1624</v>
      </c>
      <c r="F1124" s="27"/>
    </row>
    <row r="1125" spans="1:6" x14ac:dyDescent="0.3">
      <c r="A1125" s="27" t="s">
        <v>1625</v>
      </c>
      <c r="B1125" s="27" t="s">
        <v>11</v>
      </c>
      <c r="C1125">
        <v>34.4</v>
      </c>
      <c r="D1125">
        <v>34.9</v>
      </c>
      <c r="E1125" s="27" t="s">
        <v>1624</v>
      </c>
      <c r="F1125" s="27"/>
    </row>
    <row r="1126" spans="1:6" x14ac:dyDescent="0.3">
      <c r="A1126" s="27" t="s">
        <v>1626</v>
      </c>
      <c r="B1126" s="27" t="s">
        <v>33</v>
      </c>
      <c r="C1126">
        <v>51.9</v>
      </c>
      <c r="D1126">
        <v>52.65</v>
      </c>
      <c r="E1126" s="27" t="s">
        <v>1624</v>
      </c>
      <c r="F1126" s="27"/>
    </row>
    <row r="1127" spans="1:6" x14ac:dyDescent="0.3">
      <c r="A1127" s="27" t="s">
        <v>1623</v>
      </c>
      <c r="B1127" s="27" t="s">
        <v>29</v>
      </c>
      <c r="C1127">
        <v>4.83</v>
      </c>
      <c r="D1127">
        <v>4.9000000000000004</v>
      </c>
      <c r="E1127" s="27" t="s">
        <v>1624</v>
      </c>
      <c r="F1127" s="27"/>
    </row>
    <row r="1128" spans="1:6" x14ac:dyDescent="0.3">
      <c r="A1128" s="27" t="s">
        <v>1542</v>
      </c>
      <c r="B1128" s="27" t="s">
        <v>10</v>
      </c>
      <c r="C1128">
        <v>3771.75</v>
      </c>
      <c r="D1128">
        <v>3826.05</v>
      </c>
      <c r="E1128" s="27" t="s">
        <v>1628</v>
      </c>
      <c r="F1128" s="27"/>
    </row>
    <row r="1129" spans="1:6" x14ac:dyDescent="0.3">
      <c r="A1129" s="27" t="s">
        <v>1630</v>
      </c>
      <c r="B1129" s="27" t="s">
        <v>11</v>
      </c>
      <c r="C1129">
        <v>86.75</v>
      </c>
      <c r="D1129">
        <v>88</v>
      </c>
      <c r="E1129" s="27" t="s">
        <v>1628</v>
      </c>
      <c r="F1129" s="27"/>
    </row>
    <row r="1130" spans="1:6" x14ac:dyDescent="0.3">
      <c r="A1130" s="27" t="s">
        <v>1627</v>
      </c>
      <c r="B1130" s="27" t="s">
        <v>10</v>
      </c>
      <c r="C1130">
        <v>13.19</v>
      </c>
      <c r="D1130">
        <v>13.38</v>
      </c>
      <c r="E1130" s="27" t="s">
        <v>1628</v>
      </c>
      <c r="F1130" s="27"/>
    </row>
    <row r="1131" spans="1:6" x14ac:dyDescent="0.3">
      <c r="A1131" s="27" t="s">
        <v>1631</v>
      </c>
      <c r="B1131" s="27" t="s">
        <v>10</v>
      </c>
      <c r="C1131">
        <v>52.6</v>
      </c>
      <c r="D1131">
        <v>53.35</v>
      </c>
      <c r="E1131" s="27" t="s">
        <v>1632</v>
      </c>
      <c r="F1131" s="27"/>
    </row>
    <row r="1132" spans="1:6" x14ac:dyDescent="0.3">
      <c r="A1132" s="27" t="s">
        <v>1633</v>
      </c>
      <c r="B1132" s="27" t="s">
        <v>11</v>
      </c>
      <c r="C1132">
        <v>38.450000000000003</v>
      </c>
      <c r="D1132">
        <v>39</v>
      </c>
      <c r="E1132" s="27" t="s">
        <v>1632</v>
      </c>
      <c r="F1132" s="27"/>
    </row>
    <row r="1133" spans="1:6" x14ac:dyDescent="0.3">
      <c r="A1133" s="27" t="s">
        <v>3368</v>
      </c>
      <c r="B1133" s="27" t="s">
        <v>328</v>
      </c>
      <c r="C1133">
        <v>0.7</v>
      </c>
      <c r="D1133">
        <v>0.71</v>
      </c>
      <c r="E1133" s="27" t="s">
        <v>1632</v>
      </c>
      <c r="F1133" s="27"/>
    </row>
    <row r="1134" spans="1:6" x14ac:dyDescent="0.3">
      <c r="A1134" s="27" t="s">
        <v>1634</v>
      </c>
      <c r="B1134" s="27" t="s">
        <v>33</v>
      </c>
      <c r="C1134">
        <v>59.65</v>
      </c>
      <c r="D1134">
        <v>60.5</v>
      </c>
      <c r="E1134" s="27" t="s">
        <v>1635</v>
      </c>
      <c r="F1134" s="27"/>
    </row>
    <row r="1135" spans="1:6" x14ac:dyDescent="0.3">
      <c r="A1135" s="27" t="s">
        <v>1636</v>
      </c>
      <c r="B1135" s="27" t="s">
        <v>10</v>
      </c>
      <c r="C1135">
        <v>574.65</v>
      </c>
      <c r="D1135">
        <v>582.79999999999995</v>
      </c>
      <c r="E1135" s="27" t="s">
        <v>1635</v>
      </c>
      <c r="F1135" s="27"/>
    </row>
    <row r="1136" spans="1:6" x14ac:dyDescent="0.3">
      <c r="A1136" s="27" t="s">
        <v>1637</v>
      </c>
      <c r="B1136" s="27" t="s">
        <v>33</v>
      </c>
      <c r="C1136">
        <v>1.42</v>
      </c>
      <c r="D1136">
        <v>1.44</v>
      </c>
      <c r="E1136" s="27" t="s">
        <v>1638</v>
      </c>
      <c r="F1136" s="27"/>
    </row>
    <row r="1137" spans="1:6" x14ac:dyDescent="0.3">
      <c r="A1137" s="27" t="s">
        <v>1539</v>
      </c>
      <c r="B1137" s="27" t="s">
        <v>11</v>
      </c>
      <c r="C1137">
        <v>24.9</v>
      </c>
      <c r="D1137">
        <v>25.25</v>
      </c>
      <c r="E1137" s="27" t="s">
        <v>1638</v>
      </c>
      <c r="F1137" s="27"/>
    </row>
    <row r="1138" spans="1:6" x14ac:dyDescent="0.3">
      <c r="A1138" s="27" t="s">
        <v>1640</v>
      </c>
      <c r="B1138" s="27" t="s">
        <v>33</v>
      </c>
      <c r="C1138">
        <v>13.5</v>
      </c>
      <c r="D1138">
        <v>13.69</v>
      </c>
      <c r="E1138" s="27" t="s">
        <v>1638</v>
      </c>
      <c r="F1138" s="27"/>
    </row>
    <row r="1139" spans="1:6" x14ac:dyDescent="0.3">
      <c r="A1139" s="27" t="s">
        <v>1641</v>
      </c>
      <c r="B1139" s="27" t="s">
        <v>328</v>
      </c>
      <c r="C1139">
        <v>4.9800000000000004</v>
      </c>
      <c r="D1139">
        <v>5.05</v>
      </c>
      <c r="E1139" s="27" t="s">
        <v>1638</v>
      </c>
      <c r="F1139" s="27"/>
    </row>
    <row r="1140" spans="1:6" x14ac:dyDescent="0.3">
      <c r="A1140" s="27" t="s">
        <v>1642</v>
      </c>
      <c r="B1140" s="27" t="s">
        <v>328</v>
      </c>
      <c r="C1140">
        <v>0.71</v>
      </c>
      <c r="D1140">
        <v>0.72</v>
      </c>
      <c r="E1140" s="27" t="s">
        <v>1638</v>
      </c>
      <c r="F1140" s="27"/>
    </row>
    <row r="1141" spans="1:6" x14ac:dyDescent="0.3">
      <c r="A1141" s="27" t="s">
        <v>2077</v>
      </c>
      <c r="B1141" s="27" t="s">
        <v>33</v>
      </c>
      <c r="C1141">
        <v>156.55000000000001</v>
      </c>
      <c r="D1141">
        <v>158.75</v>
      </c>
      <c r="E1141" s="27" t="s">
        <v>1638</v>
      </c>
      <c r="F1141" s="27"/>
    </row>
    <row r="1142" spans="1:6" x14ac:dyDescent="0.3">
      <c r="A1142" s="27" t="s">
        <v>1646</v>
      </c>
      <c r="B1142" s="27" t="s">
        <v>11</v>
      </c>
      <c r="C1142">
        <v>268.5</v>
      </c>
      <c r="D1142">
        <v>272.25</v>
      </c>
      <c r="E1142" s="27" t="s">
        <v>1645</v>
      </c>
      <c r="F1142" s="27"/>
    </row>
    <row r="1143" spans="1:6" x14ac:dyDescent="0.3">
      <c r="A1143" s="27" t="s">
        <v>1647</v>
      </c>
      <c r="B1143" s="27" t="s">
        <v>328</v>
      </c>
      <c r="C1143">
        <v>2.86</v>
      </c>
      <c r="D1143">
        <v>2.9</v>
      </c>
      <c r="E1143" s="27" t="s">
        <v>1645</v>
      </c>
      <c r="F1143" s="27"/>
    </row>
    <row r="1144" spans="1:6" x14ac:dyDescent="0.3">
      <c r="A1144" s="27" t="s">
        <v>1644</v>
      </c>
      <c r="B1144" s="27" t="s">
        <v>11</v>
      </c>
      <c r="C1144">
        <v>189.4</v>
      </c>
      <c r="D1144">
        <v>192.05</v>
      </c>
      <c r="E1144" s="27" t="s">
        <v>1645</v>
      </c>
      <c r="F1144" s="27"/>
    </row>
    <row r="1145" spans="1:6" x14ac:dyDescent="0.3">
      <c r="A1145" s="27" t="s">
        <v>1293</v>
      </c>
      <c r="B1145" s="27" t="s">
        <v>11</v>
      </c>
      <c r="C1145">
        <v>64.3</v>
      </c>
      <c r="D1145">
        <v>65.2</v>
      </c>
      <c r="E1145" s="27" t="s">
        <v>1645</v>
      </c>
      <c r="F1145" s="27"/>
    </row>
    <row r="1146" spans="1:6" x14ac:dyDescent="0.3">
      <c r="A1146" s="27" t="s">
        <v>1562</v>
      </c>
      <c r="B1146" s="27" t="s">
        <v>10</v>
      </c>
      <c r="C1146">
        <v>2249.35</v>
      </c>
      <c r="D1146">
        <v>2280.6</v>
      </c>
      <c r="E1146" s="27" t="s">
        <v>1650</v>
      </c>
      <c r="F1146" s="27"/>
    </row>
    <row r="1147" spans="1:6" x14ac:dyDescent="0.3">
      <c r="A1147" s="27" t="s">
        <v>1649</v>
      </c>
      <c r="B1147" s="27" t="s">
        <v>33</v>
      </c>
      <c r="C1147">
        <v>36</v>
      </c>
      <c r="D1147">
        <v>36.5</v>
      </c>
      <c r="E1147" s="27" t="s">
        <v>1650</v>
      </c>
      <c r="F1147" s="27"/>
    </row>
    <row r="1148" spans="1:6" x14ac:dyDescent="0.3">
      <c r="A1148" s="27" t="s">
        <v>1651</v>
      </c>
      <c r="B1148" s="27" t="s">
        <v>328</v>
      </c>
      <c r="C1148">
        <v>0.72</v>
      </c>
      <c r="D1148">
        <v>0.73</v>
      </c>
      <c r="E1148" s="27" t="s">
        <v>1650</v>
      </c>
      <c r="F1148" s="27"/>
    </row>
    <row r="1149" spans="1:6" x14ac:dyDescent="0.3">
      <c r="A1149" s="27" t="s">
        <v>1653</v>
      </c>
      <c r="B1149" s="27" t="s">
        <v>11</v>
      </c>
      <c r="C1149">
        <v>186.4</v>
      </c>
      <c r="D1149">
        <v>189</v>
      </c>
      <c r="E1149" s="27" t="s">
        <v>1650</v>
      </c>
      <c r="F1149" s="27"/>
    </row>
    <row r="1150" spans="1:6" x14ac:dyDescent="0.3">
      <c r="A1150" s="27" t="s">
        <v>1656</v>
      </c>
      <c r="B1150" s="27" t="s">
        <v>11</v>
      </c>
      <c r="C1150">
        <v>573</v>
      </c>
      <c r="D1150">
        <v>580.95000000000005</v>
      </c>
      <c r="E1150" s="27" t="s">
        <v>1650</v>
      </c>
      <c r="F1150" s="27"/>
    </row>
    <row r="1151" spans="1:6" x14ac:dyDescent="0.3">
      <c r="A1151" s="27" t="s">
        <v>1655</v>
      </c>
      <c r="B1151" s="27" t="s">
        <v>11</v>
      </c>
      <c r="C1151">
        <v>176.2</v>
      </c>
      <c r="D1151">
        <v>178.65</v>
      </c>
      <c r="E1151" s="27" t="s">
        <v>1650</v>
      </c>
      <c r="F1151" s="27"/>
    </row>
    <row r="1152" spans="1:6" x14ac:dyDescent="0.3">
      <c r="A1152" s="27" t="s">
        <v>317</v>
      </c>
      <c r="B1152" s="27" t="s">
        <v>11</v>
      </c>
      <c r="C1152">
        <v>68.5</v>
      </c>
      <c r="D1152">
        <v>69.45</v>
      </c>
      <c r="E1152" s="27" t="s">
        <v>1650</v>
      </c>
      <c r="F1152" s="27"/>
    </row>
    <row r="1153" spans="1:6" x14ac:dyDescent="0.3">
      <c r="A1153" s="27" t="s">
        <v>1690</v>
      </c>
      <c r="B1153" s="27" t="s">
        <v>10</v>
      </c>
      <c r="C1153">
        <v>734.8</v>
      </c>
      <c r="D1153">
        <v>744.95</v>
      </c>
      <c r="E1153" s="27" t="s">
        <v>1658</v>
      </c>
      <c r="F1153" s="27"/>
    </row>
    <row r="1154" spans="1:6" x14ac:dyDescent="0.3">
      <c r="A1154" s="27" t="s">
        <v>1657</v>
      </c>
      <c r="B1154" s="27" t="s">
        <v>10</v>
      </c>
      <c r="C1154">
        <v>6145.45</v>
      </c>
      <c r="D1154">
        <v>6230</v>
      </c>
      <c r="E1154" s="27" t="s">
        <v>1658</v>
      </c>
      <c r="F1154" s="27"/>
    </row>
    <row r="1155" spans="1:6" x14ac:dyDescent="0.3">
      <c r="A1155" s="27" t="s">
        <v>1660</v>
      </c>
      <c r="B1155" s="27" t="s">
        <v>33</v>
      </c>
      <c r="C1155">
        <v>5.07</v>
      </c>
      <c r="D1155">
        <v>5.14</v>
      </c>
      <c r="E1155" s="27" t="s">
        <v>1658</v>
      </c>
      <c r="F1155" s="27"/>
    </row>
    <row r="1156" spans="1:6" x14ac:dyDescent="0.3">
      <c r="A1156" s="27" t="s">
        <v>1659</v>
      </c>
      <c r="B1156" s="27" t="s">
        <v>33</v>
      </c>
      <c r="C1156">
        <v>25.4</v>
      </c>
      <c r="D1156">
        <v>25.75</v>
      </c>
      <c r="E1156" s="27" t="s">
        <v>1658</v>
      </c>
      <c r="F1156" s="27"/>
    </row>
    <row r="1157" spans="1:6" x14ac:dyDescent="0.3">
      <c r="A1157" s="27" t="s">
        <v>1774</v>
      </c>
      <c r="B1157" s="27" t="s">
        <v>11</v>
      </c>
      <c r="C1157">
        <v>40.049999999999997</v>
      </c>
      <c r="D1157">
        <v>40.6</v>
      </c>
      <c r="E1157" s="27" t="s">
        <v>3369</v>
      </c>
      <c r="F1157" s="27"/>
    </row>
    <row r="1158" spans="1:6" x14ac:dyDescent="0.3">
      <c r="A1158" s="27" t="s">
        <v>1639</v>
      </c>
      <c r="B1158" s="27" t="s">
        <v>11</v>
      </c>
      <c r="C1158">
        <v>141.94999999999999</v>
      </c>
      <c r="D1158">
        <v>143.9</v>
      </c>
      <c r="E1158" s="27" t="s">
        <v>3369</v>
      </c>
      <c r="F1158" s="27"/>
    </row>
    <row r="1159" spans="1:6" x14ac:dyDescent="0.3">
      <c r="A1159" s="27" t="s">
        <v>1507</v>
      </c>
      <c r="B1159" s="27" t="s">
        <v>10</v>
      </c>
      <c r="C1159">
        <v>80.349999999999994</v>
      </c>
      <c r="D1159">
        <v>81.45</v>
      </c>
      <c r="E1159" s="27" t="s">
        <v>3369</v>
      </c>
      <c r="F1159" s="27"/>
    </row>
    <row r="1160" spans="1:6" x14ac:dyDescent="0.3">
      <c r="A1160" s="27" t="s">
        <v>1664</v>
      </c>
      <c r="B1160" s="27" t="s">
        <v>22</v>
      </c>
      <c r="C1160">
        <v>33.1</v>
      </c>
      <c r="D1160">
        <v>33.549999999999997</v>
      </c>
      <c r="E1160" s="27" t="s">
        <v>1663</v>
      </c>
      <c r="F1160" s="27"/>
    </row>
    <row r="1161" spans="1:6" x14ac:dyDescent="0.3">
      <c r="A1161" s="27" t="s">
        <v>1671</v>
      </c>
      <c r="B1161" s="27" t="s">
        <v>10</v>
      </c>
      <c r="C1161">
        <v>1566.8</v>
      </c>
      <c r="D1161">
        <v>1588.15</v>
      </c>
      <c r="E1161" s="27" t="s">
        <v>1663</v>
      </c>
      <c r="F1161" s="27"/>
    </row>
    <row r="1162" spans="1:6" x14ac:dyDescent="0.3">
      <c r="A1162" s="27" t="s">
        <v>1667</v>
      </c>
      <c r="B1162" s="27" t="s">
        <v>33</v>
      </c>
      <c r="C1162">
        <v>1.48</v>
      </c>
      <c r="D1162">
        <v>1.5</v>
      </c>
      <c r="E1162" s="27" t="s">
        <v>1666</v>
      </c>
      <c r="F1162" s="27"/>
    </row>
    <row r="1163" spans="1:6" x14ac:dyDescent="0.3">
      <c r="A1163" s="27" t="s">
        <v>1665</v>
      </c>
      <c r="B1163" s="27" t="s">
        <v>33</v>
      </c>
      <c r="C1163">
        <v>51.7</v>
      </c>
      <c r="D1163">
        <v>52.4</v>
      </c>
      <c r="E1163" s="27" t="s">
        <v>1666</v>
      </c>
      <c r="F1163" s="27"/>
    </row>
    <row r="1164" spans="1:6" x14ac:dyDescent="0.3">
      <c r="A1164" s="27" t="s">
        <v>1669</v>
      </c>
      <c r="B1164" s="27" t="s">
        <v>11</v>
      </c>
      <c r="C1164">
        <v>59.2</v>
      </c>
      <c r="D1164">
        <v>60</v>
      </c>
      <c r="E1164" s="27" t="s">
        <v>1666</v>
      </c>
      <c r="F1164" s="27"/>
    </row>
    <row r="1165" spans="1:6" x14ac:dyDescent="0.3">
      <c r="A1165" s="27" t="s">
        <v>1670</v>
      </c>
      <c r="B1165" s="27" t="s">
        <v>33</v>
      </c>
      <c r="C1165">
        <v>40.700000000000003</v>
      </c>
      <c r="D1165">
        <v>41.25</v>
      </c>
      <c r="E1165" s="27" t="s">
        <v>1666</v>
      </c>
      <c r="F1165" s="27"/>
    </row>
    <row r="1166" spans="1:6" x14ac:dyDescent="0.3">
      <c r="A1166" s="27" t="s">
        <v>1616</v>
      </c>
      <c r="B1166" s="27" t="s">
        <v>11</v>
      </c>
      <c r="C1166">
        <v>41</v>
      </c>
      <c r="D1166">
        <v>41.55</v>
      </c>
      <c r="E1166" s="27" t="s">
        <v>1672</v>
      </c>
      <c r="F1166" s="27"/>
    </row>
    <row r="1167" spans="1:6" x14ac:dyDescent="0.3">
      <c r="A1167" s="27" t="s">
        <v>2045</v>
      </c>
      <c r="B1167" s="27" t="s">
        <v>33</v>
      </c>
      <c r="C1167">
        <v>14.9</v>
      </c>
      <c r="D1167">
        <v>15.1</v>
      </c>
      <c r="E1167" s="27" t="s">
        <v>1672</v>
      </c>
      <c r="F1167" s="27"/>
    </row>
    <row r="1168" spans="1:6" x14ac:dyDescent="0.3">
      <c r="A1168" s="27" t="s">
        <v>1673</v>
      </c>
      <c r="B1168" s="27" t="s">
        <v>11</v>
      </c>
      <c r="C1168">
        <v>63.25</v>
      </c>
      <c r="D1168">
        <v>64.099999999999994</v>
      </c>
      <c r="E1168" s="27" t="s">
        <v>1672</v>
      </c>
      <c r="F1168" s="27"/>
    </row>
    <row r="1169" spans="1:6" x14ac:dyDescent="0.3">
      <c r="A1169" s="27" t="s">
        <v>1674</v>
      </c>
      <c r="B1169" s="27" t="s">
        <v>33</v>
      </c>
      <c r="C1169">
        <v>573.15</v>
      </c>
      <c r="D1169">
        <v>580.85</v>
      </c>
      <c r="E1169" s="27" t="s">
        <v>1672</v>
      </c>
      <c r="F1169" s="27"/>
    </row>
    <row r="1170" spans="1:6" x14ac:dyDescent="0.3">
      <c r="A1170" s="27" t="s">
        <v>1668</v>
      </c>
      <c r="B1170" s="27" t="s">
        <v>10</v>
      </c>
      <c r="C1170">
        <v>2564.0500000000002</v>
      </c>
      <c r="D1170">
        <v>2598.35</v>
      </c>
      <c r="E1170" s="27" t="s">
        <v>1672</v>
      </c>
      <c r="F1170" s="27"/>
    </row>
    <row r="1171" spans="1:6" x14ac:dyDescent="0.3">
      <c r="A1171" s="27" t="s">
        <v>1676</v>
      </c>
      <c r="B1171" s="27" t="s">
        <v>10</v>
      </c>
      <c r="C1171">
        <v>284.55</v>
      </c>
      <c r="D1171">
        <v>288.35000000000002</v>
      </c>
      <c r="E1171" s="27" t="s">
        <v>1672</v>
      </c>
      <c r="F1171" s="27"/>
    </row>
    <row r="1172" spans="1:6" x14ac:dyDescent="0.3">
      <c r="A1172" s="27" t="s">
        <v>1677</v>
      </c>
      <c r="B1172" s="27" t="s">
        <v>33</v>
      </c>
      <c r="C1172">
        <v>631.79999999999995</v>
      </c>
      <c r="D1172">
        <v>640.20000000000005</v>
      </c>
      <c r="E1172" s="27" t="s">
        <v>1678</v>
      </c>
      <c r="F1172" s="27"/>
    </row>
    <row r="1173" spans="1:6" x14ac:dyDescent="0.3">
      <c r="A1173" s="27" t="s">
        <v>1679</v>
      </c>
      <c r="B1173" s="27" t="s">
        <v>33</v>
      </c>
      <c r="C1173">
        <v>52.6</v>
      </c>
      <c r="D1173">
        <v>53.3</v>
      </c>
      <c r="E1173" s="27" t="s">
        <v>1678</v>
      </c>
      <c r="F1173" s="27"/>
    </row>
    <row r="1174" spans="1:6" x14ac:dyDescent="0.3">
      <c r="A1174" s="27" t="s">
        <v>1680</v>
      </c>
      <c r="B1174" s="27" t="s">
        <v>10</v>
      </c>
      <c r="C1174">
        <v>2072.4499999999998</v>
      </c>
      <c r="D1174">
        <v>2100</v>
      </c>
      <c r="E1174" s="27" t="s">
        <v>1678</v>
      </c>
      <c r="F1174" s="27"/>
    </row>
    <row r="1175" spans="1:6" x14ac:dyDescent="0.3">
      <c r="A1175" s="27" t="s">
        <v>1686</v>
      </c>
      <c r="B1175" s="27" t="s">
        <v>33</v>
      </c>
      <c r="C1175">
        <v>38</v>
      </c>
      <c r="D1175">
        <v>38.5</v>
      </c>
      <c r="E1175" s="27" t="s">
        <v>1683</v>
      </c>
      <c r="F1175" s="27"/>
    </row>
    <row r="1176" spans="1:6" x14ac:dyDescent="0.3">
      <c r="A1176" s="27" t="s">
        <v>1685</v>
      </c>
      <c r="B1176" s="27" t="s">
        <v>10</v>
      </c>
      <c r="C1176">
        <v>2520.3000000000002</v>
      </c>
      <c r="D1176">
        <v>2553.5</v>
      </c>
      <c r="E1176" s="27" t="s">
        <v>1683</v>
      </c>
      <c r="F1176" s="27"/>
    </row>
    <row r="1177" spans="1:6" x14ac:dyDescent="0.3">
      <c r="A1177" s="27" t="s">
        <v>1682</v>
      </c>
      <c r="B1177" s="27" t="s">
        <v>10</v>
      </c>
      <c r="C1177">
        <v>30.3</v>
      </c>
      <c r="D1177">
        <v>30.7</v>
      </c>
      <c r="E1177" s="27" t="s">
        <v>1683</v>
      </c>
      <c r="F1177" s="27"/>
    </row>
    <row r="1178" spans="1:6" x14ac:dyDescent="0.3">
      <c r="A1178" s="27" t="s">
        <v>1704</v>
      </c>
      <c r="B1178" s="27" t="s">
        <v>11</v>
      </c>
      <c r="C1178">
        <v>578.9</v>
      </c>
      <c r="D1178">
        <v>586.54999999999995</v>
      </c>
      <c r="E1178" s="27" t="s">
        <v>1683</v>
      </c>
      <c r="F1178" s="27"/>
    </row>
    <row r="1179" spans="1:6" x14ac:dyDescent="0.3">
      <c r="A1179" s="27" t="s">
        <v>2046</v>
      </c>
      <c r="B1179" s="27" t="s">
        <v>33</v>
      </c>
      <c r="C1179">
        <v>1.51</v>
      </c>
      <c r="D1179">
        <v>1.53</v>
      </c>
      <c r="E1179" s="27" t="s">
        <v>1683</v>
      </c>
      <c r="F1179" s="27"/>
    </row>
    <row r="1180" spans="1:6" x14ac:dyDescent="0.3">
      <c r="A1180" s="27" t="s">
        <v>1508</v>
      </c>
      <c r="B1180" s="27" t="s">
        <v>33</v>
      </c>
      <c r="C1180">
        <v>41.75</v>
      </c>
      <c r="D1180">
        <v>42.3</v>
      </c>
      <c r="E1180" s="27" t="s">
        <v>1683</v>
      </c>
      <c r="F1180" s="27"/>
    </row>
    <row r="1181" spans="1:6" x14ac:dyDescent="0.3">
      <c r="A1181" s="27" t="s">
        <v>1780</v>
      </c>
      <c r="B1181" s="27" t="s">
        <v>10</v>
      </c>
      <c r="C1181">
        <v>72.3</v>
      </c>
      <c r="D1181">
        <v>73.25</v>
      </c>
      <c r="E1181" s="27" t="s">
        <v>1688</v>
      </c>
      <c r="F1181" s="27"/>
    </row>
    <row r="1182" spans="1:6" x14ac:dyDescent="0.3">
      <c r="A1182" s="27" t="s">
        <v>1687</v>
      </c>
      <c r="B1182" s="27" t="s">
        <v>11</v>
      </c>
      <c r="C1182">
        <v>99.15</v>
      </c>
      <c r="D1182">
        <v>100.45</v>
      </c>
      <c r="E1182" s="27" t="s">
        <v>1688</v>
      </c>
      <c r="F1182" s="27"/>
    </row>
    <row r="1183" spans="1:6" x14ac:dyDescent="0.3">
      <c r="A1183" s="27" t="s">
        <v>1643</v>
      </c>
      <c r="B1183" s="27" t="s">
        <v>11</v>
      </c>
      <c r="C1183">
        <v>411.85</v>
      </c>
      <c r="D1183">
        <v>417.25</v>
      </c>
      <c r="E1183" s="27" t="s">
        <v>1688</v>
      </c>
      <c r="F1183" s="27"/>
    </row>
    <row r="1184" spans="1:6" x14ac:dyDescent="0.3">
      <c r="A1184" s="27" t="s">
        <v>1692</v>
      </c>
      <c r="B1184" s="27" t="s">
        <v>33</v>
      </c>
      <c r="C1184">
        <v>9.18</v>
      </c>
      <c r="D1184">
        <v>9.3000000000000007</v>
      </c>
      <c r="E1184" s="27" t="s">
        <v>1688</v>
      </c>
      <c r="F1184" s="27"/>
    </row>
    <row r="1185" spans="1:6" x14ac:dyDescent="0.3">
      <c r="A1185" s="27" t="s">
        <v>1689</v>
      </c>
      <c r="B1185" s="27" t="s">
        <v>33</v>
      </c>
      <c r="C1185">
        <v>913</v>
      </c>
      <c r="D1185">
        <v>925</v>
      </c>
      <c r="E1185" s="27" t="s">
        <v>1688</v>
      </c>
      <c r="F1185" s="27"/>
    </row>
    <row r="1186" spans="1:6" x14ac:dyDescent="0.3">
      <c r="A1186" s="27" t="s">
        <v>1693</v>
      </c>
      <c r="B1186" s="27" t="s">
        <v>33</v>
      </c>
      <c r="C1186">
        <v>3.83</v>
      </c>
      <c r="D1186">
        <v>3.88</v>
      </c>
      <c r="E1186" s="27" t="s">
        <v>1688</v>
      </c>
      <c r="F1186" s="27"/>
    </row>
    <row r="1187" spans="1:6" x14ac:dyDescent="0.3">
      <c r="A1187" s="27" t="s">
        <v>1694</v>
      </c>
      <c r="B1187" s="27" t="s">
        <v>10</v>
      </c>
      <c r="C1187">
        <v>299.8</v>
      </c>
      <c r="D1187">
        <v>303.7</v>
      </c>
      <c r="E1187" s="27" t="s">
        <v>1695</v>
      </c>
      <c r="F1187" s="27"/>
    </row>
    <row r="1188" spans="1:6" x14ac:dyDescent="0.3">
      <c r="A1188" s="27" t="s">
        <v>1696</v>
      </c>
      <c r="B1188" s="27" t="s">
        <v>10</v>
      </c>
      <c r="C1188">
        <v>519.54999999999995</v>
      </c>
      <c r="D1188">
        <v>526.29999999999995</v>
      </c>
      <c r="E1188" s="27" t="s">
        <v>1695</v>
      </c>
      <c r="F1188" s="27"/>
    </row>
    <row r="1189" spans="1:6" x14ac:dyDescent="0.3">
      <c r="A1189" s="27" t="s">
        <v>1843</v>
      </c>
      <c r="B1189" s="27" t="s">
        <v>10</v>
      </c>
      <c r="C1189">
        <v>89.3</v>
      </c>
      <c r="D1189">
        <v>90.45</v>
      </c>
      <c r="E1189" s="27" t="s">
        <v>1698</v>
      </c>
      <c r="F1189" s="27"/>
    </row>
    <row r="1190" spans="1:6" x14ac:dyDescent="0.3">
      <c r="A1190" s="27" t="s">
        <v>1582</v>
      </c>
      <c r="B1190" s="27" t="s">
        <v>10</v>
      </c>
      <c r="C1190">
        <v>85.15</v>
      </c>
      <c r="D1190">
        <v>86.25</v>
      </c>
      <c r="E1190" s="27" t="s">
        <v>1698</v>
      </c>
      <c r="F1190" s="27"/>
    </row>
    <row r="1191" spans="1:6" x14ac:dyDescent="0.3">
      <c r="A1191" s="27" t="s">
        <v>1700</v>
      </c>
      <c r="B1191" s="27" t="s">
        <v>11</v>
      </c>
      <c r="C1191">
        <v>800.95</v>
      </c>
      <c r="D1191">
        <v>811.25</v>
      </c>
      <c r="E1191" s="27" t="s">
        <v>1698</v>
      </c>
      <c r="F1191" s="27"/>
    </row>
    <row r="1192" spans="1:6" x14ac:dyDescent="0.3">
      <c r="A1192" s="27" t="s">
        <v>1703</v>
      </c>
      <c r="B1192" s="27" t="s">
        <v>11</v>
      </c>
      <c r="C1192">
        <v>362.65</v>
      </c>
      <c r="D1192">
        <v>367.3</v>
      </c>
      <c r="E1192" s="27" t="s">
        <v>1702</v>
      </c>
      <c r="F1192" s="27"/>
    </row>
    <row r="1193" spans="1:6" x14ac:dyDescent="0.3">
      <c r="A1193" s="27" t="s">
        <v>2068</v>
      </c>
      <c r="B1193" s="27" t="s">
        <v>11</v>
      </c>
      <c r="C1193">
        <v>3.16</v>
      </c>
      <c r="D1193">
        <v>3.2</v>
      </c>
      <c r="E1193" s="27" t="s">
        <v>1705</v>
      </c>
      <c r="F1193" s="27"/>
    </row>
    <row r="1194" spans="1:6" x14ac:dyDescent="0.3">
      <c r="A1194" s="27" t="s">
        <v>1706</v>
      </c>
      <c r="B1194" s="27" t="s">
        <v>11</v>
      </c>
      <c r="C1194">
        <v>4.74</v>
      </c>
      <c r="D1194">
        <v>4.8</v>
      </c>
      <c r="E1194" s="27" t="s">
        <v>1705</v>
      </c>
      <c r="F1194" s="27"/>
    </row>
    <row r="1195" spans="1:6" x14ac:dyDescent="0.3">
      <c r="A1195" s="27" t="s">
        <v>1707</v>
      </c>
      <c r="B1195" s="27" t="s">
        <v>10</v>
      </c>
      <c r="C1195">
        <v>126.4</v>
      </c>
      <c r="D1195">
        <v>128</v>
      </c>
      <c r="E1195" s="27" t="s">
        <v>1705</v>
      </c>
      <c r="F1195" s="27"/>
    </row>
    <row r="1196" spans="1:6" x14ac:dyDescent="0.3">
      <c r="A1196" s="27" t="s">
        <v>1654</v>
      </c>
      <c r="B1196" s="27" t="s">
        <v>10</v>
      </c>
      <c r="C1196">
        <v>86.5</v>
      </c>
      <c r="D1196">
        <v>87.6</v>
      </c>
      <c r="E1196" s="27" t="s">
        <v>1705</v>
      </c>
      <c r="F1196" s="27"/>
    </row>
    <row r="1197" spans="1:6" x14ac:dyDescent="0.3">
      <c r="A1197" s="27" t="s">
        <v>1742</v>
      </c>
      <c r="B1197" s="27" t="s">
        <v>10</v>
      </c>
      <c r="C1197">
        <v>779.8</v>
      </c>
      <c r="D1197">
        <v>789.65</v>
      </c>
      <c r="E1197" s="27" t="s">
        <v>1709</v>
      </c>
      <c r="F1197" s="27"/>
    </row>
    <row r="1198" spans="1:6" x14ac:dyDescent="0.3">
      <c r="A1198" s="27" t="s">
        <v>1697</v>
      </c>
      <c r="B1198" s="27" t="s">
        <v>10</v>
      </c>
      <c r="C1198">
        <v>3384.4</v>
      </c>
      <c r="D1198">
        <v>3427.1</v>
      </c>
      <c r="E1198" s="27" t="s">
        <v>1709</v>
      </c>
      <c r="F1198" s="27"/>
    </row>
    <row r="1199" spans="1:6" x14ac:dyDescent="0.3">
      <c r="A1199" s="27" t="s">
        <v>1710</v>
      </c>
      <c r="B1199" s="27" t="s">
        <v>328</v>
      </c>
      <c r="C1199">
        <v>7.15</v>
      </c>
      <c r="D1199">
        <v>7.24</v>
      </c>
      <c r="E1199" s="27" t="s">
        <v>1709</v>
      </c>
      <c r="F1199" s="27"/>
    </row>
    <row r="1200" spans="1:6" x14ac:dyDescent="0.3">
      <c r="A1200" s="27" t="s">
        <v>1708</v>
      </c>
      <c r="B1200" s="27" t="s">
        <v>11</v>
      </c>
      <c r="C1200">
        <v>67.349999999999994</v>
      </c>
      <c r="D1200">
        <v>68.2</v>
      </c>
      <c r="E1200" s="27" t="s">
        <v>1709</v>
      </c>
      <c r="F1200" s="27"/>
    </row>
    <row r="1201" spans="1:6" x14ac:dyDescent="0.3">
      <c r="A1201" s="27" t="s">
        <v>1715</v>
      </c>
      <c r="B1201" s="27" t="s">
        <v>10</v>
      </c>
      <c r="C1201">
        <v>1181.25</v>
      </c>
      <c r="D1201">
        <v>1196</v>
      </c>
      <c r="E1201" s="27" t="s">
        <v>1712</v>
      </c>
      <c r="F1201" s="27"/>
    </row>
    <row r="1202" spans="1:6" x14ac:dyDescent="0.3">
      <c r="A1202" s="27" t="s">
        <v>1714</v>
      </c>
      <c r="B1202" s="27" t="s">
        <v>33</v>
      </c>
      <c r="C1202">
        <v>316.7</v>
      </c>
      <c r="D1202">
        <v>320.64999999999998</v>
      </c>
      <c r="E1202" s="27" t="s">
        <v>1712</v>
      </c>
      <c r="F1202" s="27"/>
    </row>
    <row r="1203" spans="1:6" x14ac:dyDescent="0.3">
      <c r="A1203" s="27" t="s">
        <v>1711</v>
      </c>
      <c r="B1203" s="27" t="s">
        <v>11</v>
      </c>
      <c r="C1203">
        <v>196.45</v>
      </c>
      <c r="D1203">
        <v>198.9</v>
      </c>
      <c r="E1203" s="27" t="s">
        <v>1712</v>
      </c>
      <c r="F1203" s="27"/>
    </row>
    <row r="1204" spans="1:6" x14ac:dyDescent="0.3">
      <c r="A1204" s="27" t="s">
        <v>1717</v>
      </c>
      <c r="B1204" s="27" t="s">
        <v>11</v>
      </c>
      <c r="C1204">
        <v>0.8</v>
      </c>
      <c r="D1204">
        <v>0.81</v>
      </c>
      <c r="E1204" s="27" t="s">
        <v>1712</v>
      </c>
      <c r="F1204" s="27"/>
    </row>
    <row r="1205" spans="1:6" x14ac:dyDescent="0.3">
      <c r="A1205" s="27" t="s">
        <v>2023</v>
      </c>
      <c r="B1205" s="27" t="s">
        <v>11</v>
      </c>
      <c r="C1205">
        <v>1014.25</v>
      </c>
      <c r="D1205">
        <v>1026.9000000000001</v>
      </c>
      <c r="E1205" s="27" t="s">
        <v>1712</v>
      </c>
      <c r="F1205" s="27"/>
    </row>
    <row r="1206" spans="1:6" x14ac:dyDescent="0.3">
      <c r="A1206" s="27" t="s">
        <v>1713</v>
      </c>
      <c r="B1206" s="27" t="s">
        <v>11</v>
      </c>
      <c r="C1206">
        <v>624.95000000000005</v>
      </c>
      <c r="D1206">
        <v>632.75</v>
      </c>
      <c r="E1206" s="27" t="s">
        <v>1712</v>
      </c>
      <c r="F1206" s="27"/>
    </row>
    <row r="1207" spans="1:6" x14ac:dyDescent="0.3">
      <c r="A1207" s="27" t="s">
        <v>1716</v>
      </c>
      <c r="B1207" s="27" t="s">
        <v>11</v>
      </c>
      <c r="C1207">
        <v>36.049999999999997</v>
      </c>
      <c r="D1207">
        <v>36.5</v>
      </c>
      <c r="E1207" s="27" t="s">
        <v>1712</v>
      </c>
      <c r="F1207" s="27"/>
    </row>
    <row r="1208" spans="1:6" x14ac:dyDescent="0.3">
      <c r="A1208" s="27" t="s">
        <v>1859</v>
      </c>
      <c r="B1208" s="27" t="s">
        <v>10</v>
      </c>
      <c r="C1208">
        <v>201.65</v>
      </c>
      <c r="D1208">
        <v>204.15</v>
      </c>
      <c r="E1208" s="27" t="s">
        <v>1719</v>
      </c>
      <c r="F1208" s="27"/>
    </row>
    <row r="1209" spans="1:6" x14ac:dyDescent="0.3">
      <c r="A1209" s="27" t="s">
        <v>1750</v>
      </c>
      <c r="B1209" s="27" t="s">
        <v>10</v>
      </c>
      <c r="C1209">
        <v>1698.85</v>
      </c>
      <c r="D1209">
        <v>1719.9</v>
      </c>
      <c r="E1209" s="27" t="s">
        <v>1719</v>
      </c>
      <c r="F1209" s="27"/>
    </row>
    <row r="1210" spans="1:6" x14ac:dyDescent="0.3">
      <c r="A1210" s="27" t="s">
        <v>1795</v>
      </c>
      <c r="B1210" s="27" t="s">
        <v>10</v>
      </c>
      <c r="C1210">
        <v>1037.8</v>
      </c>
      <c r="D1210">
        <v>1050.6500000000001</v>
      </c>
      <c r="E1210" s="27" t="s">
        <v>1719</v>
      </c>
      <c r="F1210" s="27"/>
    </row>
    <row r="1211" spans="1:6" x14ac:dyDescent="0.3">
      <c r="A1211" s="27" t="s">
        <v>1833</v>
      </c>
      <c r="B1211" s="27" t="s">
        <v>10</v>
      </c>
      <c r="C1211">
        <v>2672</v>
      </c>
      <c r="D1211">
        <v>2705</v>
      </c>
      <c r="E1211" s="27" t="s">
        <v>1719</v>
      </c>
      <c r="F1211" s="27"/>
    </row>
    <row r="1212" spans="1:6" x14ac:dyDescent="0.3">
      <c r="A1212" s="27" t="s">
        <v>1801</v>
      </c>
      <c r="B1212" s="27" t="s">
        <v>10</v>
      </c>
      <c r="C1212">
        <v>388.15</v>
      </c>
      <c r="D1212">
        <v>392.95</v>
      </c>
      <c r="E1212" s="27" t="s">
        <v>1719</v>
      </c>
      <c r="F1212" s="27"/>
    </row>
    <row r="1213" spans="1:6" x14ac:dyDescent="0.3">
      <c r="A1213" s="27" t="s">
        <v>1720</v>
      </c>
      <c r="B1213" s="27" t="s">
        <v>10</v>
      </c>
      <c r="C1213">
        <v>124.75</v>
      </c>
      <c r="D1213">
        <v>126.3</v>
      </c>
      <c r="E1213" s="27" t="s">
        <v>1719</v>
      </c>
      <c r="F1213" s="27"/>
    </row>
    <row r="1214" spans="1:6" x14ac:dyDescent="0.3">
      <c r="A1214" s="27" t="s">
        <v>1718</v>
      </c>
      <c r="B1214" s="27" t="s">
        <v>11</v>
      </c>
      <c r="C1214">
        <v>120.5</v>
      </c>
      <c r="D1214">
        <v>122</v>
      </c>
      <c r="E1214" s="27" t="s">
        <v>1719</v>
      </c>
      <c r="F1214" s="27"/>
    </row>
    <row r="1215" spans="1:6" x14ac:dyDescent="0.3">
      <c r="A1215" s="27" t="s">
        <v>3370</v>
      </c>
      <c r="B1215" s="27" t="s">
        <v>29</v>
      </c>
      <c r="C1215">
        <v>2.41</v>
      </c>
      <c r="D1215">
        <v>2.44</v>
      </c>
      <c r="E1215" s="27" t="s">
        <v>1719</v>
      </c>
      <c r="F1215" s="27"/>
    </row>
    <row r="1216" spans="1:6" x14ac:dyDescent="0.3">
      <c r="A1216" s="27" t="s">
        <v>1723</v>
      </c>
      <c r="B1216" s="27" t="s">
        <v>11</v>
      </c>
      <c r="C1216">
        <v>899.2</v>
      </c>
      <c r="D1216">
        <v>910.35</v>
      </c>
      <c r="E1216" s="27" t="s">
        <v>1719</v>
      </c>
      <c r="F1216" s="27"/>
    </row>
    <row r="1217" spans="1:6" x14ac:dyDescent="0.3">
      <c r="A1217" s="27" t="s">
        <v>1865</v>
      </c>
      <c r="B1217" s="27" t="s">
        <v>10</v>
      </c>
      <c r="C1217">
        <v>132.55000000000001</v>
      </c>
      <c r="D1217">
        <v>134.19999999999999</v>
      </c>
      <c r="E1217" s="27" t="s">
        <v>1719</v>
      </c>
      <c r="F1217" s="27"/>
    </row>
    <row r="1218" spans="1:6" x14ac:dyDescent="0.3">
      <c r="A1218" s="27" t="s">
        <v>1722</v>
      </c>
      <c r="B1218" s="27" t="s">
        <v>11</v>
      </c>
      <c r="C1218">
        <v>241.75</v>
      </c>
      <c r="D1218">
        <v>244.75</v>
      </c>
      <c r="E1218" s="27" t="s">
        <v>1719</v>
      </c>
      <c r="F1218" s="27"/>
    </row>
    <row r="1219" spans="1:6" x14ac:dyDescent="0.3">
      <c r="A1219" s="27" t="s">
        <v>1587</v>
      </c>
      <c r="B1219" s="27" t="s">
        <v>10</v>
      </c>
      <c r="C1219">
        <v>506.4</v>
      </c>
      <c r="D1219">
        <v>512.65</v>
      </c>
      <c r="E1219" s="27" t="s">
        <v>1725</v>
      </c>
      <c r="F1219" s="27"/>
    </row>
    <row r="1220" spans="1:6" x14ac:dyDescent="0.3">
      <c r="A1220" s="27" t="s">
        <v>1218</v>
      </c>
      <c r="B1220" s="27" t="s">
        <v>11</v>
      </c>
      <c r="C1220">
        <v>101.25</v>
      </c>
      <c r="D1220">
        <v>102.5</v>
      </c>
      <c r="E1220" s="27" t="s">
        <v>1725</v>
      </c>
      <c r="F1220" s="27"/>
    </row>
    <row r="1221" spans="1:6" x14ac:dyDescent="0.3">
      <c r="A1221" s="27" t="s">
        <v>1729</v>
      </c>
      <c r="B1221" s="27" t="s">
        <v>11</v>
      </c>
      <c r="C1221">
        <v>143.19999999999999</v>
      </c>
      <c r="D1221">
        <v>144.94999999999999</v>
      </c>
      <c r="E1221" s="27" t="s">
        <v>1727</v>
      </c>
      <c r="F1221" s="27"/>
    </row>
    <row r="1222" spans="1:6" x14ac:dyDescent="0.3">
      <c r="A1222" s="27" t="s">
        <v>1145</v>
      </c>
      <c r="B1222" s="27" t="s">
        <v>11</v>
      </c>
      <c r="C1222">
        <v>86.15</v>
      </c>
      <c r="D1222">
        <v>87.2</v>
      </c>
      <c r="E1222" s="27" t="s">
        <v>1727</v>
      </c>
      <c r="F1222" s="27"/>
    </row>
    <row r="1223" spans="1:6" x14ac:dyDescent="0.3">
      <c r="A1223" s="27" t="s">
        <v>1730</v>
      </c>
      <c r="B1223" s="27" t="s">
        <v>11</v>
      </c>
      <c r="C1223">
        <v>20.5</v>
      </c>
      <c r="D1223">
        <v>20.75</v>
      </c>
      <c r="E1223" s="27" t="s">
        <v>1727</v>
      </c>
      <c r="F1223" s="27"/>
    </row>
    <row r="1224" spans="1:6" x14ac:dyDescent="0.3">
      <c r="A1224" s="27" t="s">
        <v>1731</v>
      </c>
      <c r="B1224" s="27" t="s">
        <v>33</v>
      </c>
      <c r="C1224">
        <v>28.65</v>
      </c>
      <c r="D1224">
        <v>29</v>
      </c>
      <c r="E1224" s="27" t="s">
        <v>1727</v>
      </c>
      <c r="F1224" s="27"/>
    </row>
    <row r="1225" spans="1:6" x14ac:dyDescent="0.3">
      <c r="A1225" s="27" t="s">
        <v>1726</v>
      </c>
      <c r="B1225" s="27" t="s">
        <v>11</v>
      </c>
      <c r="C1225">
        <v>1288.45</v>
      </c>
      <c r="D1225">
        <v>1304.2</v>
      </c>
      <c r="E1225" s="27" t="s">
        <v>1727</v>
      </c>
      <c r="F1225" s="27"/>
    </row>
    <row r="1226" spans="1:6" x14ac:dyDescent="0.3">
      <c r="A1226" s="27" t="s">
        <v>1728</v>
      </c>
      <c r="B1226" s="27" t="s">
        <v>11</v>
      </c>
      <c r="C1226">
        <v>7.38</v>
      </c>
      <c r="D1226">
        <v>7.47</v>
      </c>
      <c r="E1226" s="27" t="s">
        <v>1727</v>
      </c>
      <c r="F1226" s="27"/>
    </row>
    <row r="1227" spans="1:6" x14ac:dyDescent="0.3">
      <c r="A1227" s="27" t="s">
        <v>1926</v>
      </c>
      <c r="B1227" s="27" t="s">
        <v>10</v>
      </c>
      <c r="C1227">
        <v>1799.05</v>
      </c>
      <c r="D1227">
        <v>1820.95</v>
      </c>
      <c r="E1227" s="27" t="s">
        <v>1727</v>
      </c>
      <c r="F1227" s="27"/>
    </row>
    <row r="1228" spans="1:6" x14ac:dyDescent="0.3">
      <c r="A1228" s="27" t="s">
        <v>1732</v>
      </c>
      <c r="B1228" s="27" t="s">
        <v>10</v>
      </c>
      <c r="C1228">
        <v>2941.25</v>
      </c>
      <c r="D1228">
        <v>2977</v>
      </c>
      <c r="E1228" s="27" t="s">
        <v>1727</v>
      </c>
      <c r="F1228" s="27"/>
    </row>
    <row r="1229" spans="1:6" x14ac:dyDescent="0.3">
      <c r="A1229" s="27" t="s">
        <v>1737</v>
      </c>
      <c r="B1229" s="27" t="s">
        <v>11</v>
      </c>
      <c r="C1229">
        <v>49.5</v>
      </c>
      <c r="D1229">
        <v>50.1</v>
      </c>
      <c r="E1229" s="27" t="s">
        <v>1734</v>
      </c>
      <c r="F1229" s="27"/>
    </row>
    <row r="1230" spans="1:6" x14ac:dyDescent="0.3">
      <c r="A1230" s="27" t="s">
        <v>1736</v>
      </c>
      <c r="B1230" s="27" t="s">
        <v>11</v>
      </c>
      <c r="C1230">
        <v>45.35</v>
      </c>
      <c r="D1230">
        <v>45.9</v>
      </c>
      <c r="E1230" s="27" t="s">
        <v>1734</v>
      </c>
      <c r="F1230" s="27"/>
    </row>
    <row r="1231" spans="1:6" x14ac:dyDescent="0.3">
      <c r="A1231" s="27" t="s">
        <v>1735</v>
      </c>
      <c r="B1231" s="27" t="s">
        <v>10</v>
      </c>
      <c r="C1231">
        <v>41.2</v>
      </c>
      <c r="D1231">
        <v>41.7</v>
      </c>
      <c r="E1231" s="27" t="s">
        <v>1734</v>
      </c>
      <c r="F1231" s="27"/>
    </row>
    <row r="1232" spans="1:6" x14ac:dyDescent="0.3">
      <c r="A1232" s="27" t="s">
        <v>1733</v>
      </c>
      <c r="B1232" s="27" t="s">
        <v>33</v>
      </c>
      <c r="C1232">
        <v>86.7</v>
      </c>
      <c r="D1232">
        <v>87.75</v>
      </c>
      <c r="E1232" s="27" t="s">
        <v>1734</v>
      </c>
      <c r="F1232" s="27"/>
    </row>
    <row r="1233" spans="1:6" x14ac:dyDescent="0.3">
      <c r="A1233" s="27" t="s">
        <v>1740</v>
      </c>
      <c r="B1233" s="27" t="s">
        <v>29</v>
      </c>
      <c r="C1233">
        <v>5</v>
      </c>
      <c r="D1233">
        <v>5.0599999999999996</v>
      </c>
      <c r="E1233" s="27" t="s">
        <v>1739</v>
      </c>
      <c r="F1233" s="27"/>
    </row>
    <row r="1234" spans="1:6" x14ac:dyDescent="0.3">
      <c r="A1234" s="27" t="s">
        <v>1741</v>
      </c>
      <c r="B1234" s="27" t="s">
        <v>10</v>
      </c>
      <c r="C1234">
        <v>682.15</v>
      </c>
      <c r="D1234">
        <v>690.35</v>
      </c>
      <c r="E1234" s="27" t="s">
        <v>1739</v>
      </c>
      <c r="F1234" s="27"/>
    </row>
    <row r="1235" spans="1:6" x14ac:dyDescent="0.3">
      <c r="A1235" s="27" t="s">
        <v>1744</v>
      </c>
      <c r="B1235" s="27" t="s">
        <v>10</v>
      </c>
      <c r="C1235">
        <v>92.1</v>
      </c>
      <c r="D1235">
        <v>93.2</v>
      </c>
      <c r="E1235" s="27" t="s">
        <v>1743</v>
      </c>
      <c r="F1235" s="27"/>
    </row>
    <row r="1236" spans="1:6" x14ac:dyDescent="0.3">
      <c r="A1236" s="27" t="s">
        <v>1745</v>
      </c>
      <c r="B1236" s="27" t="s">
        <v>10</v>
      </c>
      <c r="C1236">
        <v>963.55</v>
      </c>
      <c r="D1236">
        <v>975.05</v>
      </c>
      <c r="E1236" s="27" t="s">
        <v>1743</v>
      </c>
      <c r="F1236" s="27"/>
    </row>
    <row r="1237" spans="1:6" x14ac:dyDescent="0.3">
      <c r="A1237" s="27" t="s">
        <v>1766</v>
      </c>
      <c r="B1237" s="27" t="s">
        <v>10</v>
      </c>
      <c r="C1237">
        <v>1168.8</v>
      </c>
      <c r="D1237">
        <v>1182.55</v>
      </c>
      <c r="E1237" s="27" t="s">
        <v>1747</v>
      </c>
      <c r="F1237" s="27"/>
    </row>
    <row r="1238" spans="1:6" x14ac:dyDescent="0.3">
      <c r="A1238" s="27" t="s">
        <v>1699</v>
      </c>
      <c r="B1238" s="27" t="s">
        <v>10</v>
      </c>
      <c r="C1238">
        <v>1243.9000000000001</v>
      </c>
      <c r="D1238">
        <v>1258.55</v>
      </c>
      <c r="E1238" s="27" t="s">
        <v>1747</v>
      </c>
      <c r="F1238" s="27"/>
    </row>
    <row r="1239" spans="1:6" x14ac:dyDescent="0.3">
      <c r="A1239" s="27" t="s">
        <v>1746</v>
      </c>
      <c r="B1239" s="27" t="s">
        <v>11</v>
      </c>
      <c r="C1239">
        <v>300.89999999999998</v>
      </c>
      <c r="D1239">
        <v>304.45</v>
      </c>
      <c r="E1239" s="27" t="s">
        <v>1747</v>
      </c>
      <c r="F1239" s="27"/>
    </row>
    <row r="1240" spans="1:6" x14ac:dyDescent="0.3">
      <c r="A1240" s="27" t="s">
        <v>1868</v>
      </c>
      <c r="B1240" s="27" t="s">
        <v>10</v>
      </c>
      <c r="C1240">
        <v>1045.75</v>
      </c>
      <c r="D1240">
        <v>1058.05</v>
      </c>
      <c r="E1240" s="27" t="s">
        <v>1747</v>
      </c>
      <c r="F1240" s="27"/>
    </row>
    <row r="1241" spans="1:6" x14ac:dyDescent="0.3">
      <c r="A1241" s="27" t="s">
        <v>1748</v>
      </c>
      <c r="B1241" s="27" t="s">
        <v>33</v>
      </c>
      <c r="C1241">
        <v>111</v>
      </c>
      <c r="D1241">
        <v>112.3</v>
      </c>
      <c r="E1241" s="27" t="s">
        <v>1749</v>
      </c>
      <c r="F1241" s="27"/>
    </row>
    <row r="1242" spans="1:6" x14ac:dyDescent="0.3">
      <c r="A1242" s="27" t="s">
        <v>1751</v>
      </c>
      <c r="B1242" s="27" t="s">
        <v>33</v>
      </c>
      <c r="C1242">
        <v>409.15</v>
      </c>
      <c r="D1242">
        <v>413.95</v>
      </c>
      <c r="E1242" s="27" t="s">
        <v>1749</v>
      </c>
      <c r="F1242" s="27"/>
    </row>
    <row r="1243" spans="1:6" x14ac:dyDescent="0.3">
      <c r="A1243" s="27" t="s">
        <v>1753</v>
      </c>
      <c r="B1243" s="27" t="s">
        <v>33</v>
      </c>
      <c r="C1243">
        <v>38.549999999999997</v>
      </c>
      <c r="D1243">
        <v>39</v>
      </c>
      <c r="E1243" s="27" t="s">
        <v>1749</v>
      </c>
      <c r="F1243" s="27"/>
    </row>
    <row r="1244" spans="1:6" x14ac:dyDescent="0.3">
      <c r="A1244" s="27" t="s">
        <v>1756</v>
      </c>
      <c r="B1244" s="27" t="s">
        <v>33</v>
      </c>
      <c r="C1244">
        <v>484.35</v>
      </c>
      <c r="D1244">
        <v>490</v>
      </c>
      <c r="E1244" s="27" t="s">
        <v>1749</v>
      </c>
      <c r="F1244" s="27"/>
    </row>
    <row r="1245" spans="1:6" x14ac:dyDescent="0.3">
      <c r="A1245" s="27" t="s">
        <v>1869</v>
      </c>
      <c r="B1245" s="27" t="s">
        <v>10</v>
      </c>
      <c r="C1245">
        <v>448.45</v>
      </c>
      <c r="D1245">
        <v>453.7</v>
      </c>
      <c r="E1245" s="27" t="s">
        <v>1749</v>
      </c>
      <c r="F1245" s="27"/>
    </row>
    <row r="1246" spans="1:6" x14ac:dyDescent="0.3">
      <c r="A1246" s="27" t="s">
        <v>1752</v>
      </c>
      <c r="B1246" s="27" t="s">
        <v>10</v>
      </c>
      <c r="C1246">
        <v>115.6</v>
      </c>
      <c r="D1246">
        <v>116.95</v>
      </c>
      <c r="E1246" s="27" t="s">
        <v>1749</v>
      </c>
      <c r="F1246" s="27"/>
    </row>
    <row r="1247" spans="1:6" x14ac:dyDescent="0.3">
      <c r="A1247" s="27" t="s">
        <v>1755</v>
      </c>
      <c r="B1247" s="27" t="s">
        <v>10</v>
      </c>
      <c r="C1247">
        <v>2876.95</v>
      </c>
      <c r="D1247">
        <v>2910.7</v>
      </c>
      <c r="E1247" s="27" t="s">
        <v>1749</v>
      </c>
      <c r="F1247" s="27"/>
    </row>
    <row r="1248" spans="1:6" x14ac:dyDescent="0.3">
      <c r="A1248" s="27" t="s">
        <v>1754</v>
      </c>
      <c r="B1248" s="27" t="s">
        <v>33</v>
      </c>
      <c r="C1248">
        <v>174.9</v>
      </c>
      <c r="D1248">
        <v>176.95</v>
      </c>
      <c r="E1248" s="27" t="s">
        <v>1749</v>
      </c>
      <c r="F1248" s="27"/>
    </row>
    <row r="1249" spans="1:6" x14ac:dyDescent="0.3">
      <c r="A1249" s="27" t="s">
        <v>1757</v>
      </c>
      <c r="B1249" s="27" t="s">
        <v>35</v>
      </c>
      <c r="C1249">
        <v>0.86</v>
      </c>
      <c r="D1249">
        <v>0.87</v>
      </c>
      <c r="E1249" s="27" t="s">
        <v>1758</v>
      </c>
      <c r="F1249" s="27"/>
    </row>
    <row r="1250" spans="1:6" x14ac:dyDescent="0.3">
      <c r="A1250" s="27" t="s">
        <v>1648</v>
      </c>
      <c r="B1250" s="27" t="s">
        <v>11</v>
      </c>
      <c r="C1250">
        <v>107.3</v>
      </c>
      <c r="D1250">
        <v>108.55</v>
      </c>
      <c r="E1250" s="27" t="s">
        <v>1758</v>
      </c>
      <c r="F1250" s="27"/>
    </row>
    <row r="1251" spans="1:6" x14ac:dyDescent="0.3">
      <c r="A1251" s="27" t="s">
        <v>1759</v>
      </c>
      <c r="B1251" s="27" t="s">
        <v>11</v>
      </c>
      <c r="C1251">
        <v>86.05</v>
      </c>
      <c r="D1251">
        <v>87.05</v>
      </c>
      <c r="E1251" s="27" t="s">
        <v>1758</v>
      </c>
      <c r="F1251" s="27"/>
    </row>
    <row r="1252" spans="1:6" x14ac:dyDescent="0.3">
      <c r="A1252" s="27" t="s">
        <v>1761</v>
      </c>
      <c r="B1252" s="27" t="s">
        <v>11</v>
      </c>
      <c r="C1252">
        <v>137.85</v>
      </c>
      <c r="D1252">
        <v>139.44999999999999</v>
      </c>
      <c r="E1252" s="27" t="s">
        <v>1758</v>
      </c>
      <c r="F1252" s="27"/>
    </row>
    <row r="1253" spans="1:6" x14ac:dyDescent="0.3">
      <c r="A1253" s="27" t="s">
        <v>1808</v>
      </c>
      <c r="B1253" s="27" t="s">
        <v>10</v>
      </c>
      <c r="C1253">
        <v>216.75</v>
      </c>
      <c r="D1253">
        <v>219.25</v>
      </c>
      <c r="E1253" s="27" t="s">
        <v>1763</v>
      </c>
      <c r="F1253" s="27"/>
    </row>
    <row r="1254" spans="1:6" x14ac:dyDescent="0.3">
      <c r="A1254" s="27" t="s">
        <v>1825</v>
      </c>
      <c r="B1254" s="27" t="s">
        <v>33</v>
      </c>
      <c r="C1254">
        <v>86.8</v>
      </c>
      <c r="D1254">
        <v>87.8</v>
      </c>
      <c r="E1254" s="27" t="s">
        <v>1763</v>
      </c>
      <c r="F1254" s="27"/>
    </row>
    <row r="1255" spans="1:6" x14ac:dyDescent="0.3">
      <c r="A1255" s="27" t="s">
        <v>1764</v>
      </c>
      <c r="B1255" s="27" t="s">
        <v>10</v>
      </c>
      <c r="C1255">
        <v>491.3</v>
      </c>
      <c r="D1255">
        <v>496.95</v>
      </c>
      <c r="E1255" s="27" t="s">
        <v>1763</v>
      </c>
      <c r="F1255" s="27"/>
    </row>
    <row r="1256" spans="1:6" x14ac:dyDescent="0.3">
      <c r="A1256" s="27" t="s">
        <v>1765</v>
      </c>
      <c r="B1256" s="27" t="s">
        <v>33</v>
      </c>
      <c r="C1256">
        <v>456.75</v>
      </c>
      <c r="D1256">
        <v>462</v>
      </c>
      <c r="E1256" s="27" t="s">
        <v>1763</v>
      </c>
      <c r="F1256" s="27"/>
    </row>
    <row r="1257" spans="1:6" x14ac:dyDescent="0.3">
      <c r="A1257" s="27" t="s">
        <v>1769</v>
      </c>
      <c r="B1257" s="27" t="s">
        <v>33</v>
      </c>
      <c r="C1257">
        <v>113.7</v>
      </c>
      <c r="D1257">
        <v>115</v>
      </c>
      <c r="E1257" s="27" t="s">
        <v>1767</v>
      </c>
      <c r="F1257" s="27"/>
    </row>
    <row r="1258" spans="1:6" x14ac:dyDescent="0.3">
      <c r="A1258" s="27" t="s">
        <v>3371</v>
      </c>
      <c r="B1258" s="27" t="s">
        <v>33</v>
      </c>
      <c r="C1258">
        <v>9.64</v>
      </c>
      <c r="D1258">
        <v>9.75</v>
      </c>
      <c r="E1258" s="27" t="s">
        <v>1767</v>
      </c>
      <c r="F1258" s="27"/>
    </row>
    <row r="1259" spans="1:6" x14ac:dyDescent="0.3">
      <c r="A1259" s="27" t="s">
        <v>2214</v>
      </c>
      <c r="B1259" s="27" t="s">
        <v>10</v>
      </c>
      <c r="C1259">
        <v>413.8</v>
      </c>
      <c r="D1259">
        <v>418.5</v>
      </c>
      <c r="E1259" s="27" t="s">
        <v>1767</v>
      </c>
      <c r="F1259" s="27"/>
    </row>
    <row r="1260" spans="1:6" x14ac:dyDescent="0.3">
      <c r="A1260" s="27" t="s">
        <v>1768</v>
      </c>
      <c r="B1260" s="27" t="s">
        <v>10</v>
      </c>
      <c r="C1260">
        <v>391.55</v>
      </c>
      <c r="D1260">
        <v>396</v>
      </c>
      <c r="E1260" s="27" t="s">
        <v>1767</v>
      </c>
      <c r="F1260" s="27"/>
    </row>
    <row r="1261" spans="1:6" x14ac:dyDescent="0.3">
      <c r="A1261" s="27" t="s">
        <v>1675</v>
      </c>
      <c r="B1261" s="27" t="s">
        <v>10</v>
      </c>
      <c r="C1261">
        <v>560.1</v>
      </c>
      <c r="D1261">
        <v>566.5</v>
      </c>
      <c r="E1261" s="27" t="s">
        <v>1767</v>
      </c>
      <c r="F1261" s="27"/>
    </row>
    <row r="1262" spans="1:6" x14ac:dyDescent="0.3">
      <c r="A1262" s="27" t="s">
        <v>1772</v>
      </c>
      <c r="B1262" s="27" t="s">
        <v>10</v>
      </c>
      <c r="C1262">
        <v>583.4</v>
      </c>
      <c r="D1262">
        <v>590</v>
      </c>
      <c r="E1262" s="27" t="s">
        <v>1771</v>
      </c>
      <c r="F1262" s="27"/>
    </row>
    <row r="1263" spans="1:6" x14ac:dyDescent="0.3">
      <c r="A1263" s="27" t="s">
        <v>1773</v>
      </c>
      <c r="B1263" s="27" t="s">
        <v>33</v>
      </c>
      <c r="C1263">
        <v>368.85</v>
      </c>
      <c r="D1263">
        <v>373</v>
      </c>
      <c r="E1263" s="27" t="s">
        <v>1771</v>
      </c>
      <c r="F1263" s="27"/>
    </row>
    <row r="1264" spans="1:6" x14ac:dyDescent="0.3">
      <c r="A1264" s="27" t="s">
        <v>1792</v>
      </c>
      <c r="B1264" s="27" t="s">
        <v>10</v>
      </c>
      <c r="C1264">
        <v>101.9</v>
      </c>
      <c r="D1264">
        <v>103.05</v>
      </c>
      <c r="E1264" s="27" t="s">
        <v>1771</v>
      </c>
      <c r="F1264" s="27"/>
    </row>
    <row r="1265" spans="1:6" x14ac:dyDescent="0.3">
      <c r="A1265" s="27" t="s">
        <v>1770</v>
      </c>
      <c r="B1265" s="27" t="s">
        <v>33</v>
      </c>
      <c r="C1265">
        <v>291.7</v>
      </c>
      <c r="D1265">
        <v>295</v>
      </c>
      <c r="E1265" s="27" t="s">
        <v>1771</v>
      </c>
      <c r="F1265" s="27"/>
    </row>
    <row r="1266" spans="1:6" x14ac:dyDescent="0.3">
      <c r="A1266" s="27" t="s">
        <v>1614</v>
      </c>
      <c r="B1266" s="27" t="s">
        <v>11</v>
      </c>
      <c r="C1266">
        <v>44.35</v>
      </c>
      <c r="D1266">
        <v>44.85</v>
      </c>
      <c r="E1266" s="27" t="s">
        <v>1771</v>
      </c>
      <c r="F1266" s="27"/>
    </row>
    <row r="1267" spans="1:6" x14ac:dyDescent="0.3">
      <c r="A1267" s="27" t="s">
        <v>1839</v>
      </c>
      <c r="B1267" s="27" t="s">
        <v>10</v>
      </c>
      <c r="C1267">
        <v>139.05000000000001</v>
      </c>
      <c r="D1267">
        <v>140.6</v>
      </c>
      <c r="E1267" s="27" t="s">
        <v>1777</v>
      </c>
      <c r="F1267" s="27"/>
    </row>
    <row r="1268" spans="1:6" x14ac:dyDescent="0.3">
      <c r="A1268" s="27" t="s">
        <v>1776</v>
      </c>
      <c r="B1268" s="27" t="s">
        <v>11</v>
      </c>
      <c r="C1268">
        <v>49.65</v>
      </c>
      <c r="D1268">
        <v>50.2</v>
      </c>
      <c r="E1268" s="27" t="s">
        <v>1777</v>
      </c>
      <c r="F1268" s="27"/>
    </row>
    <row r="1269" spans="1:6" x14ac:dyDescent="0.3">
      <c r="A1269" s="27" t="s">
        <v>1781</v>
      </c>
      <c r="B1269" s="27" t="s">
        <v>11</v>
      </c>
      <c r="C1269">
        <v>189</v>
      </c>
      <c r="D1269">
        <v>191.1</v>
      </c>
      <c r="E1269" s="27" t="s">
        <v>1777</v>
      </c>
      <c r="F1269" s="27"/>
    </row>
    <row r="1270" spans="1:6" x14ac:dyDescent="0.3">
      <c r="A1270" s="27" t="s">
        <v>1779</v>
      </c>
      <c r="B1270" s="27" t="s">
        <v>35</v>
      </c>
      <c r="C1270">
        <v>3.61</v>
      </c>
      <c r="D1270">
        <v>3.65</v>
      </c>
      <c r="E1270" s="27" t="s">
        <v>1777</v>
      </c>
      <c r="F1270" s="27"/>
    </row>
    <row r="1271" spans="1:6" x14ac:dyDescent="0.3">
      <c r="A1271" s="27" t="s">
        <v>1778</v>
      </c>
      <c r="B1271" s="27" t="s">
        <v>10</v>
      </c>
      <c r="C1271">
        <v>446.85</v>
      </c>
      <c r="D1271">
        <v>451.8</v>
      </c>
      <c r="E1271" s="27" t="s">
        <v>1777</v>
      </c>
      <c r="F1271" s="27"/>
    </row>
    <row r="1272" spans="1:6" x14ac:dyDescent="0.3">
      <c r="A1272" s="27" t="s">
        <v>1798</v>
      </c>
      <c r="B1272" s="27" t="s">
        <v>10</v>
      </c>
      <c r="C1272">
        <v>1528.75</v>
      </c>
      <c r="D1272">
        <v>1545.7</v>
      </c>
      <c r="E1272" s="27" t="s">
        <v>1777</v>
      </c>
      <c r="F1272" s="27"/>
    </row>
    <row r="1273" spans="1:6" x14ac:dyDescent="0.3">
      <c r="A1273" s="27" t="s">
        <v>1806</v>
      </c>
      <c r="B1273" s="27" t="s">
        <v>10</v>
      </c>
      <c r="C1273">
        <v>131.5</v>
      </c>
      <c r="D1273">
        <v>132.94999999999999</v>
      </c>
      <c r="E1273" s="27" t="s">
        <v>1783</v>
      </c>
      <c r="F1273" s="27"/>
    </row>
    <row r="1274" spans="1:6" x14ac:dyDescent="0.3">
      <c r="A1274" s="27" t="s">
        <v>1782</v>
      </c>
      <c r="B1274" s="27" t="s">
        <v>10</v>
      </c>
      <c r="C1274">
        <v>77.599999999999994</v>
      </c>
      <c r="D1274">
        <v>78.45</v>
      </c>
      <c r="E1274" s="27" t="s">
        <v>1783</v>
      </c>
      <c r="F1274" s="27"/>
    </row>
    <row r="1275" spans="1:6" x14ac:dyDescent="0.3">
      <c r="A1275" s="27" t="s">
        <v>1784</v>
      </c>
      <c r="B1275" s="27" t="s">
        <v>11</v>
      </c>
      <c r="C1275">
        <v>232.45</v>
      </c>
      <c r="D1275">
        <v>235</v>
      </c>
      <c r="E1275" s="27" t="s">
        <v>1783</v>
      </c>
      <c r="F1275" s="27"/>
    </row>
    <row r="1276" spans="1:6" x14ac:dyDescent="0.3">
      <c r="A1276" s="27" t="s">
        <v>1812</v>
      </c>
      <c r="B1276" s="27" t="s">
        <v>10</v>
      </c>
      <c r="C1276">
        <v>652.95000000000005</v>
      </c>
      <c r="D1276">
        <v>660.05</v>
      </c>
      <c r="E1276" s="27" t="s">
        <v>1786</v>
      </c>
      <c r="F1276" s="27"/>
    </row>
    <row r="1277" spans="1:6" x14ac:dyDescent="0.3">
      <c r="A1277" s="27" t="s">
        <v>1785</v>
      </c>
      <c r="B1277" s="27" t="s">
        <v>11</v>
      </c>
      <c r="C1277">
        <v>4.5999999999999996</v>
      </c>
      <c r="D1277">
        <v>4.6500000000000004</v>
      </c>
      <c r="E1277" s="27" t="s">
        <v>1786</v>
      </c>
      <c r="F1277" s="27"/>
    </row>
    <row r="1278" spans="1:6" x14ac:dyDescent="0.3">
      <c r="A1278" s="27" t="s">
        <v>1788</v>
      </c>
      <c r="B1278" s="27" t="s">
        <v>33</v>
      </c>
      <c r="C1278">
        <v>5.51</v>
      </c>
      <c r="D1278">
        <v>5.57</v>
      </c>
      <c r="E1278" s="27" t="s">
        <v>1786</v>
      </c>
      <c r="F1278" s="27"/>
    </row>
    <row r="1279" spans="1:6" x14ac:dyDescent="0.3">
      <c r="A1279" s="27" t="s">
        <v>1787</v>
      </c>
      <c r="B1279" s="27" t="s">
        <v>10</v>
      </c>
      <c r="C1279">
        <v>897.15</v>
      </c>
      <c r="D1279">
        <v>906.95</v>
      </c>
      <c r="E1279" s="27" t="s">
        <v>1786</v>
      </c>
      <c r="F1279" s="27"/>
    </row>
    <row r="1280" spans="1:6" x14ac:dyDescent="0.3">
      <c r="A1280" s="27" t="s">
        <v>1789</v>
      </c>
      <c r="B1280" s="27" t="s">
        <v>10</v>
      </c>
      <c r="C1280">
        <v>465.05</v>
      </c>
      <c r="D1280">
        <v>470.05</v>
      </c>
      <c r="E1280" s="27" t="s">
        <v>1790</v>
      </c>
      <c r="F1280" s="27"/>
    </row>
    <row r="1281" spans="1:6" x14ac:dyDescent="0.3">
      <c r="A1281" s="27" t="s">
        <v>1791</v>
      </c>
      <c r="B1281" s="27" t="s">
        <v>10</v>
      </c>
      <c r="C1281">
        <v>249</v>
      </c>
      <c r="D1281">
        <v>251.7</v>
      </c>
      <c r="E1281" s="27" t="s">
        <v>1790</v>
      </c>
      <c r="F1281" s="27"/>
    </row>
    <row r="1282" spans="1:6" x14ac:dyDescent="0.3">
      <c r="A1282" s="27" t="s">
        <v>1794</v>
      </c>
      <c r="B1282" s="27" t="s">
        <v>33</v>
      </c>
      <c r="C1282">
        <v>14.79</v>
      </c>
      <c r="D1282">
        <v>14.95</v>
      </c>
      <c r="E1282" s="27" t="s">
        <v>1790</v>
      </c>
      <c r="F1282" s="27"/>
    </row>
    <row r="1283" spans="1:6" x14ac:dyDescent="0.3">
      <c r="A1283" s="27" t="s">
        <v>1797</v>
      </c>
      <c r="B1283" s="27" t="s">
        <v>33</v>
      </c>
      <c r="C1283">
        <v>51.4</v>
      </c>
      <c r="D1283">
        <v>51.95</v>
      </c>
      <c r="E1283" s="27" t="s">
        <v>1796</v>
      </c>
      <c r="F1283" s="27"/>
    </row>
    <row r="1284" spans="1:6" x14ac:dyDescent="0.3">
      <c r="A1284" s="27" t="s">
        <v>2127</v>
      </c>
      <c r="B1284" s="27" t="s">
        <v>11</v>
      </c>
      <c r="C1284">
        <v>1.87</v>
      </c>
      <c r="D1284">
        <v>1.89</v>
      </c>
      <c r="E1284" s="27" t="s">
        <v>1796</v>
      </c>
      <c r="F1284" s="27"/>
    </row>
    <row r="1285" spans="1:6" x14ac:dyDescent="0.3">
      <c r="A1285" s="27" t="s">
        <v>1803</v>
      </c>
      <c r="B1285" s="27" t="s">
        <v>11</v>
      </c>
      <c r="C1285">
        <v>46.85</v>
      </c>
      <c r="D1285">
        <v>47.35</v>
      </c>
      <c r="E1285" s="27" t="s">
        <v>1796</v>
      </c>
      <c r="F1285" s="27"/>
    </row>
    <row r="1286" spans="1:6" x14ac:dyDescent="0.3">
      <c r="A1286" s="27" t="s">
        <v>1800</v>
      </c>
      <c r="B1286" s="27" t="s">
        <v>11</v>
      </c>
      <c r="C1286">
        <v>12.15</v>
      </c>
      <c r="D1286">
        <v>12.28</v>
      </c>
      <c r="E1286" s="27" t="s">
        <v>1796</v>
      </c>
      <c r="F1286" s="27"/>
    </row>
    <row r="1287" spans="1:6" x14ac:dyDescent="0.3">
      <c r="A1287" s="27" t="s">
        <v>1799</v>
      </c>
      <c r="B1287" s="27" t="s">
        <v>11</v>
      </c>
      <c r="C1287">
        <v>248.2</v>
      </c>
      <c r="D1287">
        <v>250.85</v>
      </c>
      <c r="E1287" s="27" t="s">
        <v>1796</v>
      </c>
      <c r="F1287" s="27"/>
    </row>
    <row r="1288" spans="1:6" x14ac:dyDescent="0.3">
      <c r="A1288" s="27" t="s">
        <v>1802</v>
      </c>
      <c r="B1288" s="27" t="s">
        <v>33</v>
      </c>
      <c r="C1288">
        <v>23.35</v>
      </c>
      <c r="D1288">
        <v>23.6</v>
      </c>
      <c r="E1288" s="27" t="s">
        <v>1796</v>
      </c>
      <c r="F1288" s="27"/>
    </row>
    <row r="1289" spans="1:6" x14ac:dyDescent="0.3">
      <c r="A1289" s="27" t="s">
        <v>1738</v>
      </c>
      <c r="B1289" s="27" t="s">
        <v>33</v>
      </c>
      <c r="C1289">
        <v>1511.8</v>
      </c>
      <c r="D1289">
        <v>1528</v>
      </c>
      <c r="E1289" s="27" t="s">
        <v>1796</v>
      </c>
      <c r="F1289" s="27"/>
    </row>
    <row r="1290" spans="1:6" x14ac:dyDescent="0.3">
      <c r="A1290" s="27" t="s">
        <v>1805</v>
      </c>
      <c r="B1290" s="27" t="s">
        <v>11</v>
      </c>
      <c r="C1290">
        <v>37.4</v>
      </c>
      <c r="D1290">
        <v>37.799999999999997</v>
      </c>
      <c r="E1290" s="27" t="s">
        <v>1796</v>
      </c>
      <c r="F1290" s="27"/>
    </row>
    <row r="1291" spans="1:6" x14ac:dyDescent="0.3">
      <c r="A1291" s="27" t="s">
        <v>1836</v>
      </c>
      <c r="B1291" s="27" t="s">
        <v>10</v>
      </c>
      <c r="C1291">
        <v>341.65</v>
      </c>
      <c r="D1291">
        <v>345.3</v>
      </c>
      <c r="E1291" s="27" t="s">
        <v>1796</v>
      </c>
      <c r="F1291" s="27"/>
    </row>
    <row r="1292" spans="1:6" x14ac:dyDescent="0.3">
      <c r="A1292" s="27" t="s">
        <v>1811</v>
      </c>
      <c r="B1292" s="27" t="s">
        <v>11</v>
      </c>
      <c r="C1292">
        <v>42.4</v>
      </c>
      <c r="D1292">
        <v>42.85</v>
      </c>
      <c r="E1292" s="27" t="s">
        <v>1807</v>
      </c>
      <c r="F1292" s="27"/>
    </row>
    <row r="1293" spans="1:6" x14ac:dyDescent="0.3">
      <c r="A1293" s="27" t="s">
        <v>1810</v>
      </c>
      <c r="B1293" s="27" t="s">
        <v>10</v>
      </c>
      <c r="C1293">
        <v>701.35</v>
      </c>
      <c r="D1293">
        <v>708.8</v>
      </c>
      <c r="E1293" s="27" t="s">
        <v>1807</v>
      </c>
      <c r="F1293" s="27"/>
    </row>
    <row r="1294" spans="1:6" x14ac:dyDescent="0.3">
      <c r="A1294" s="27" t="s">
        <v>1844</v>
      </c>
      <c r="B1294" s="27" t="s">
        <v>10</v>
      </c>
      <c r="C1294">
        <v>1192.45</v>
      </c>
      <c r="D1294">
        <v>1205.05</v>
      </c>
      <c r="E1294" s="27" t="s">
        <v>1807</v>
      </c>
      <c r="F1294" s="27"/>
    </row>
    <row r="1295" spans="1:6" x14ac:dyDescent="0.3">
      <c r="A1295" s="27" t="s">
        <v>1929</v>
      </c>
      <c r="B1295" s="27" t="s">
        <v>10</v>
      </c>
      <c r="C1295">
        <v>56.8</v>
      </c>
      <c r="D1295">
        <v>57.4</v>
      </c>
      <c r="E1295" s="27" t="s">
        <v>1807</v>
      </c>
      <c r="F1295" s="27"/>
    </row>
    <row r="1296" spans="1:6" x14ac:dyDescent="0.3">
      <c r="A1296" s="27" t="s">
        <v>1819</v>
      </c>
      <c r="B1296" s="27" t="s">
        <v>10</v>
      </c>
      <c r="C1296">
        <v>1649.3</v>
      </c>
      <c r="D1296">
        <v>1666.6</v>
      </c>
      <c r="E1296" s="27" t="s">
        <v>1813</v>
      </c>
      <c r="F1296" s="27"/>
    </row>
    <row r="1297" spans="1:6" x14ac:dyDescent="0.3">
      <c r="A1297" s="27" t="s">
        <v>1816</v>
      </c>
      <c r="B1297" s="27" t="s">
        <v>11</v>
      </c>
      <c r="C1297">
        <v>61.65</v>
      </c>
      <c r="D1297">
        <v>62.3</v>
      </c>
      <c r="E1297" s="27" t="s">
        <v>1813</v>
      </c>
      <c r="F1297" s="27"/>
    </row>
    <row r="1298" spans="1:6" x14ac:dyDescent="0.3">
      <c r="A1298" s="27" t="s">
        <v>1815</v>
      </c>
      <c r="B1298" s="27" t="s">
        <v>10</v>
      </c>
      <c r="C1298">
        <v>303.95</v>
      </c>
      <c r="D1298">
        <v>307.14999999999998</v>
      </c>
      <c r="E1298" s="27" t="s">
        <v>1813</v>
      </c>
      <c r="F1298" s="27"/>
    </row>
    <row r="1299" spans="1:6" x14ac:dyDescent="0.3">
      <c r="A1299" s="27" t="s">
        <v>1820</v>
      </c>
      <c r="B1299" s="27" t="s">
        <v>33</v>
      </c>
      <c r="C1299">
        <v>1622.9</v>
      </c>
      <c r="D1299">
        <v>1640</v>
      </c>
      <c r="E1299" s="27" t="s">
        <v>1813</v>
      </c>
      <c r="F1299" s="27"/>
    </row>
    <row r="1300" spans="1:6" x14ac:dyDescent="0.3">
      <c r="A1300" s="27" t="s">
        <v>1817</v>
      </c>
      <c r="B1300" s="27" t="s">
        <v>11</v>
      </c>
      <c r="C1300">
        <v>2.87</v>
      </c>
      <c r="D1300">
        <v>2.9</v>
      </c>
      <c r="E1300" s="27" t="s">
        <v>1813</v>
      </c>
      <c r="F1300" s="27"/>
    </row>
    <row r="1301" spans="1:6" x14ac:dyDescent="0.3">
      <c r="A1301" s="27" t="s">
        <v>1826</v>
      </c>
      <c r="B1301" s="27" t="s">
        <v>11</v>
      </c>
      <c r="C1301">
        <v>134.4</v>
      </c>
      <c r="D1301">
        <v>135.80000000000001</v>
      </c>
      <c r="E1301" s="27" t="s">
        <v>1822</v>
      </c>
      <c r="F1301" s="27"/>
    </row>
    <row r="1302" spans="1:6" x14ac:dyDescent="0.3">
      <c r="A1302" s="27" t="s">
        <v>1823</v>
      </c>
      <c r="B1302" s="27" t="s">
        <v>11</v>
      </c>
      <c r="C1302">
        <v>998.15</v>
      </c>
      <c r="D1302">
        <v>1008.5</v>
      </c>
      <c r="E1302" s="27" t="s">
        <v>1822</v>
      </c>
      <c r="F1302" s="27"/>
    </row>
    <row r="1303" spans="1:6" x14ac:dyDescent="0.3">
      <c r="A1303" s="27" t="s">
        <v>1828</v>
      </c>
      <c r="B1303" s="27" t="s">
        <v>33</v>
      </c>
      <c r="C1303">
        <v>33.5</v>
      </c>
      <c r="D1303">
        <v>33.85</v>
      </c>
      <c r="E1303" s="27" t="s">
        <v>1822</v>
      </c>
      <c r="F1303" s="27"/>
    </row>
    <row r="1304" spans="1:6" x14ac:dyDescent="0.3">
      <c r="A1304" s="27" t="s">
        <v>1824</v>
      </c>
      <c r="B1304" s="27" t="s">
        <v>33</v>
      </c>
      <c r="C1304">
        <v>48</v>
      </c>
      <c r="D1304">
        <v>48.5</v>
      </c>
      <c r="E1304" s="27" t="s">
        <v>1822</v>
      </c>
      <c r="F1304" s="27"/>
    </row>
    <row r="1305" spans="1:6" x14ac:dyDescent="0.3">
      <c r="A1305" s="27" t="s">
        <v>1821</v>
      </c>
      <c r="B1305" s="27" t="s">
        <v>11</v>
      </c>
      <c r="C1305">
        <v>24.05</v>
      </c>
      <c r="D1305">
        <v>24.3</v>
      </c>
      <c r="E1305" s="27" t="s">
        <v>1822</v>
      </c>
      <c r="F1305" s="27"/>
    </row>
    <row r="1306" spans="1:6" x14ac:dyDescent="0.3">
      <c r="A1306" s="27" t="s">
        <v>1827</v>
      </c>
      <c r="B1306" s="27" t="s">
        <v>10</v>
      </c>
      <c r="C1306">
        <v>1112.2</v>
      </c>
      <c r="D1306">
        <v>1123.7</v>
      </c>
      <c r="E1306" s="27" t="s">
        <v>1830</v>
      </c>
      <c r="F1306" s="27"/>
    </row>
    <row r="1307" spans="1:6" x14ac:dyDescent="0.3">
      <c r="A1307" s="27" t="s">
        <v>1829</v>
      </c>
      <c r="B1307" s="27" t="s">
        <v>11</v>
      </c>
      <c r="C1307">
        <v>10.66</v>
      </c>
      <c r="D1307">
        <v>10.77</v>
      </c>
      <c r="E1307" s="27" t="s">
        <v>1830</v>
      </c>
      <c r="F1307" s="27"/>
    </row>
    <row r="1308" spans="1:6" x14ac:dyDescent="0.3">
      <c r="A1308" s="27" t="s">
        <v>1832</v>
      </c>
      <c r="B1308" s="27" t="s">
        <v>11</v>
      </c>
      <c r="C1308">
        <v>618.4</v>
      </c>
      <c r="D1308">
        <v>624.79999999999995</v>
      </c>
      <c r="E1308" s="27" t="s">
        <v>1830</v>
      </c>
      <c r="F1308" s="27"/>
    </row>
    <row r="1309" spans="1:6" x14ac:dyDescent="0.3">
      <c r="A1309" s="27" t="s">
        <v>1762</v>
      </c>
      <c r="B1309" s="27" t="s">
        <v>10</v>
      </c>
      <c r="C1309">
        <v>9531.5</v>
      </c>
      <c r="D1309">
        <v>9629.9</v>
      </c>
      <c r="E1309" s="27" t="s">
        <v>1830</v>
      </c>
      <c r="F1309" s="27"/>
    </row>
    <row r="1310" spans="1:6" x14ac:dyDescent="0.3">
      <c r="A1310" s="27" t="s">
        <v>1953</v>
      </c>
      <c r="B1310" s="27" t="s">
        <v>10</v>
      </c>
      <c r="C1310">
        <v>130.85</v>
      </c>
      <c r="D1310">
        <v>132.19999999999999</v>
      </c>
      <c r="E1310" s="27" t="s">
        <v>1830</v>
      </c>
      <c r="F1310" s="27"/>
    </row>
    <row r="1311" spans="1:6" x14ac:dyDescent="0.3">
      <c r="A1311" s="27" t="s">
        <v>1831</v>
      </c>
      <c r="B1311" s="27" t="s">
        <v>10</v>
      </c>
      <c r="C1311">
        <v>179.55</v>
      </c>
      <c r="D1311">
        <v>181.4</v>
      </c>
      <c r="E1311" s="27" t="s">
        <v>1830</v>
      </c>
      <c r="F1311" s="27"/>
    </row>
    <row r="1312" spans="1:6" x14ac:dyDescent="0.3">
      <c r="A1312" s="27" t="s">
        <v>1834</v>
      </c>
      <c r="B1312" s="27" t="s">
        <v>33</v>
      </c>
      <c r="C1312">
        <v>221.25</v>
      </c>
      <c r="D1312">
        <v>223.5</v>
      </c>
      <c r="E1312" s="27" t="s">
        <v>1835</v>
      </c>
      <c r="F1312" s="27"/>
    </row>
    <row r="1313" spans="1:6" x14ac:dyDescent="0.3">
      <c r="A1313" s="27" t="s">
        <v>1721</v>
      </c>
      <c r="B1313" s="27" t="s">
        <v>10</v>
      </c>
      <c r="C1313">
        <v>745.65</v>
      </c>
      <c r="D1313">
        <v>753.25</v>
      </c>
      <c r="E1313" s="27" t="s">
        <v>1835</v>
      </c>
      <c r="F1313" s="27"/>
    </row>
    <row r="1314" spans="1:6" x14ac:dyDescent="0.3">
      <c r="A1314" s="27" t="s">
        <v>1837</v>
      </c>
      <c r="B1314" s="27" t="s">
        <v>328</v>
      </c>
      <c r="C1314">
        <v>103</v>
      </c>
      <c r="D1314">
        <v>104.05</v>
      </c>
      <c r="E1314" s="27" t="s">
        <v>1835</v>
      </c>
      <c r="F1314" s="27"/>
    </row>
    <row r="1315" spans="1:6" x14ac:dyDescent="0.3">
      <c r="A1315" s="27" t="s">
        <v>1838</v>
      </c>
      <c r="B1315" s="27" t="s">
        <v>10</v>
      </c>
      <c r="C1315">
        <v>717.15</v>
      </c>
      <c r="D1315">
        <v>724.45</v>
      </c>
      <c r="E1315" s="27" t="s">
        <v>1835</v>
      </c>
      <c r="F1315" s="27"/>
    </row>
    <row r="1316" spans="1:6" x14ac:dyDescent="0.3">
      <c r="A1316" s="27" t="s">
        <v>1891</v>
      </c>
      <c r="B1316" s="27" t="s">
        <v>11</v>
      </c>
      <c r="C1316">
        <v>13.77</v>
      </c>
      <c r="D1316">
        <v>13.91</v>
      </c>
      <c r="E1316" s="27" t="s">
        <v>1835</v>
      </c>
      <c r="F1316" s="27"/>
    </row>
    <row r="1317" spans="1:6" x14ac:dyDescent="0.3">
      <c r="A1317" s="27" t="s">
        <v>1845</v>
      </c>
      <c r="B1317" s="27" t="s">
        <v>10</v>
      </c>
      <c r="C1317">
        <v>153.85</v>
      </c>
      <c r="D1317">
        <v>155.4</v>
      </c>
      <c r="E1317" s="27" t="s">
        <v>1840</v>
      </c>
      <c r="F1317" s="27"/>
    </row>
    <row r="1318" spans="1:6" x14ac:dyDescent="0.3">
      <c r="A1318" s="27" t="s">
        <v>1841</v>
      </c>
      <c r="B1318" s="27" t="s">
        <v>33</v>
      </c>
      <c r="C1318">
        <v>1978</v>
      </c>
      <c r="D1318">
        <v>1998</v>
      </c>
      <c r="E1318" s="27" t="s">
        <v>1840</v>
      </c>
      <c r="F1318" s="27"/>
    </row>
    <row r="1319" spans="1:6" x14ac:dyDescent="0.3">
      <c r="A1319" s="27" t="s">
        <v>1842</v>
      </c>
      <c r="B1319" s="27" t="s">
        <v>328</v>
      </c>
      <c r="C1319">
        <v>11.88</v>
      </c>
      <c r="D1319">
        <v>12</v>
      </c>
      <c r="E1319" s="27" t="s">
        <v>1840</v>
      </c>
      <c r="F1319" s="27"/>
    </row>
    <row r="1320" spans="1:6" x14ac:dyDescent="0.3">
      <c r="A1320" s="27" t="s">
        <v>1466</v>
      </c>
      <c r="B1320" s="27" t="s">
        <v>29</v>
      </c>
      <c r="C1320">
        <v>14.95</v>
      </c>
      <c r="D1320">
        <v>15.1</v>
      </c>
      <c r="E1320" s="27" t="s">
        <v>1847</v>
      </c>
      <c r="F1320" s="27"/>
    </row>
    <row r="1321" spans="1:6" x14ac:dyDescent="0.3">
      <c r="A1321" s="27" t="s">
        <v>1863</v>
      </c>
      <c r="B1321" s="27" t="s">
        <v>10</v>
      </c>
      <c r="C1321">
        <v>1739.2</v>
      </c>
      <c r="D1321">
        <v>1756.65</v>
      </c>
      <c r="E1321" s="27" t="s">
        <v>1847</v>
      </c>
      <c r="F1321" s="27"/>
    </row>
    <row r="1322" spans="1:6" x14ac:dyDescent="0.3">
      <c r="A1322" s="27" t="s">
        <v>1852</v>
      </c>
      <c r="B1322" s="27" t="s">
        <v>10</v>
      </c>
      <c r="C1322">
        <v>716.45</v>
      </c>
      <c r="D1322">
        <v>723.65</v>
      </c>
      <c r="E1322" s="27" t="s">
        <v>1847</v>
      </c>
      <c r="F1322" s="27"/>
    </row>
    <row r="1323" spans="1:6" x14ac:dyDescent="0.3">
      <c r="A1323" s="27" t="s">
        <v>1850</v>
      </c>
      <c r="B1323" s="27" t="s">
        <v>11</v>
      </c>
      <c r="C1323">
        <v>35.15</v>
      </c>
      <c r="D1323">
        <v>35.5</v>
      </c>
      <c r="E1323" s="27" t="s">
        <v>1847</v>
      </c>
      <c r="F1323" s="27"/>
    </row>
    <row r="1324" spans="1:6" x14ac:dyDescent="0.3">
      <c r="A1324" s="27" t="s">
        <v>1849</v>
      </c>
      <c r="B1324" s="27" t="s">
        <v>10</v>
      </c>
      <c r="C1324">
        <v>20970.150000000001</v>
      </c>
      <c r="D1324">
        <v>21180</v>
      </c>
      <c r="E1324" s="27" t="s">
        <v>1847</v>
      </c>
      <c r="F1324" s="27"/>
    </row>
    <row r="1325" spans="1:6" x14ac:dyDescent="0.3">
      <c r="A1325" s="27" t="s">
        <v>1853</v>
      </c>
      <c r="B1325" s="27" t="s">
        <v>10</v>
      </c>
      <c r="C1325">
        <v>940.15</v>
      </c>
      <c r="D1325">
        <v>949.45</v>
      </c>
      <c r="E1325" s="27" t="s">
        <v>1854</v>
      </c>
      <c r="F1325" s="27"/>
    </row>
    <row r="1326" spans="1:6" x14ac:dyDescent="0.3">
      <c r="A1326" s="27" t="s">
        <v>1858</v>
      </c>
      <c r="B1326" s="27" t="s">
        <v>33</v>
      </c>
      <c r="C1326">
        <v>292.10000000000002</v>
      </c>
      <c r="D1326">
        <v>295</v>
      </c>
      <c r="E1326" s="27" t="s">
        <v>1854</v>
      </c>
      <c r="F1326" s="27"/>
    </row>
    <row r="1327" spans="1:6" x14ac:dyDescent="0.3">
      <c r="A1327" s="27" t="s">
        <v>1861</v>
      </c>
      <c r="B1327" s="27" t="s">
        <v>11</v>
      </c>
      <c r="C1327">
        <v>60.4</v>
      </c>
      <c r="D1327">
        <v>61</v>
      </c>
      <c r="E1327" s="27" t="s">
        <v>1854</v>
      </c>
      <c r="F1327" s="27"/>
    </row>
    <row r="1328" spans="1:6" x14ac:dyDescent="0.3">
      <c r="A1328" s="27" t="s">
        <v>1862</v>
      </c>
      <c r="B1328" s="27" t="s">
        <v>33</v>
      </c>
      <c r="C1328">
        <v>65.349999999999994</v>
      </c>
      <c r="D1328">
        <v>66</v>
      </c>
      <c r="E1328" s="27" t="s">
        <v>1854</v>
      </c>
      <c r="F1328" s="27"/>
    </row>
    <row r="1329" spans="1:6" x14ac:dyDescent="0.3">
      <c r="A1329" s="27" t="s">
        <v>1867</v>
      </c>
      <c r="B1329" s="27" t="s">
        <v>328</v>
      </c>
      <c r="C1329">
        <v>1832</v>
      </c>
      <c r="D1329">
        <v>1850</v>
      </c>
      <c r="E1329" s="27" t="s">
        <v>1864</v>
      </c>
      <c r="F1329" s="27"/>
    </row>
    <row r="1330" spans="1:6" x14ac:dyDescent="0.3">
      <c r="A1330" s="27" t="s">
        <v>1866</v>
      </c>
      <c r="B1330" s="27" t="s">
        <v>11</v>
      </c>
      <c r="C1330">
        <v>224.8</v>
      </c>
      <c r="D1330">
        <v>227</v>
      </c>
      <c r="E1330" s="27" t="s">
        <v>1864</v>
      </c>
      <c r="F1330" s="27"/>
    </row>
    <row r="1331" spans="1:6" x14ac:dyDescent="0.3">
      <c r="A1331" s="27" t="s">
        <v>1873</v>
      </c>
      <c r="B1331" s="27" t="s">
        <v>10</v>
      </c>
      <c r="C1331">
        <v>129.19999999999999</v>
      </c>
      <c r="D1331">
        <v>130.44999999999999</v>
      </c>
      <c r="E1331" s="27" t="s">
        <v>1870</v>
      </c>
      <c r="F1331" s="27"/>
    </row>
    <row r="1332" spans="1:6" x14ac:dyDescent="0.3">
      <c r="A1332" s="27" t="s">
        <v>1973</v>
      </c>
      <c r="B1332" s="27" t="s">
        <v>10</v>
      </c>
      <c r="C1332">
        <v>341.4</v>
      </c>
      <c r="D1332">
        <v>344.7</v>
      </c>
      <c r="E1332" s="27" t="s">
        <v>1870</v>
      </c>
      <c r="F1332" s="27"/>
    </row>
    <row r="1333" spans="1:6" x14ac:dyDescent="0.3">
      <c r="A1333" s="27" t="s">
        <v>2095</v>
      </c>
      <c r="B1333" s="27" t="s">
        <v>33</v>
      </c>
      <c r="C1333">
        <v>25.7</v>
      </c>
      <c r="D1333">
        <v>25.95</v>
      </c>
      <c r="E1333" s="27" t="s">
        <v>1870</v>
      </c>
      <c r="F1333" s="27"/>
    </row>
    <row r="1334" spans="1:6" x14ac:dyDescent="0.3">
      <c r="A1334" s="27" t="s">
        <v>1871</v>
      </c>
      <c r="B1334" s="27" t="s">
        <v>11</v>
      </c>
      <c r="C1334">
        <v>6.2</v>
      </c>
      <c r="D1334">
        <v>6.26</v>
      </c>
      <c r="E1334" s="27" t="s">
        <v>1870</v>
      </c>
      <c r="F1334" s="27"/>
    </row>
    <row r="1335" spans="1:6" x14ac:dyDescent="0.3">
      <c r="A1335" s="27" t="s">
        <v>1875</v>
      </c>
      <c r="B1335" s="27" t="s">
        <v>10</v>
      </c>
      <c r="C1335">
        <v>5923.3</v>
      </c>
      <c r="D1335">
        <v>5980</v>
      </c>
      <c r="E1335" s="27" t="s">
        <v>1876</v>
      </c>
      <c r="F1335" s="27"/>
    </row>
    <row r="1336" spans="1:6" x14ac:dyDescent="0.3">
      <c r="A1336" s="27" t="s">
        <v>1877</v>
      </c>
      <c r="B1336" s="27" t="s">
        <v>11</v>
      </c>
      <c r="C1336">
        <v>4.1500000000000004</v>
      </c>
      <c r="D1336">
        <v>4.1900000000000004</v>
      </c>
      <c r="E1336" s="27" t="s">
        <v>1876</v>
      </c>
      <c r="F1336" s="27"/>
    </row>
    <row r="1337" spans="1:6" x14ac:dyDescent="0.3">
      <c r="A1337" s="27" t="s">
        <v>1883</v>
      </c>
      <c r="B1337" s="27" t="s">
        <v>11</v>
      </c>
      <c r="C1337">
        <v>3214</v>
      </c>
      <c r="D1337">
        <v>3245</v>
      </c>
      <c r="E1337" s="27" t="s">
        <v>1876</v>
      </c>
      <c r="F1337" s="27"/>
    </row>
    <row r="1338" spans="1:6" x14ac:dyDescent="0.3">
      <c r="A1338" s="27" t="s">
        <v>1882</v>
      </c>
      <c r="B1338" s="27" t="s">
        <v>11</v>
      </c>
      <c r="C1338">
        <v>15.65</v>
      </c>
      <c r="D1338">
        <v>15.8</v>
      </c>
      <c r="E1338" s="27" t="s">
        <v>1876</v>
      </c>
      <c r="F1338" s="27"/>
    </row>
    <row r="1339" spans="1:6" x14ac:dyDescent="0.3">
      <c r="A1339" s="27" t="s">
        <v>1900</v>
      </c>
      <c r="B1339" s="27" t="s">
        <v>10</v>
      </c>
      <c r="C1339">
        <v>1514.35</v>
      </c>
      <c r="D1339">
        <v>1528.9</v>
      </c>
      <c r="E1339" s="27" t="s">
        <v>1876</v>
      </c>
      <c r="F1339" s="27"/>
    </row>
    <row r="1340" spans="1:6" x14ac:dyDescent="0.3">
      <c r="A1340" s="27" t="s">
        <v>1880</v>
      </c>
      <c r="B1340" s="27" t="s">
        <v>10</v>
      </c>
      <c r="C1340">
        <v>125.25</v>
      </c>
      <c r="D1340">
        <v>126.45</v>
      </c>
      <c r="E1340" s="27" t="s">
        <v>1876</v>
      </c>
      <c r="F1340" s="27"/>
    </row>
    <row r="1341" spans="1:6" x14ac:dyDescent="0.3">
      <c r="A1341" s="27" t="s">
        <v>1879</v>
      </c>
      <c r="B1341" s="27" t="s">
        <v>11</v>
      </c>
      <c r="C1341">
        <v>20.9</v>
      </c>
      <c r="D1341">
        <v>21.1</v>
      </c>
      <c r="E1341" s="27" t="s">
        <v>1876</v>
      </c>
      <c r="F1341" s="27"/>
    </row>
    <row r="1342" spans="1:6" x14ac:dyDescent="0.3">
      <c r="A1342" s="27" t="s">
        <v>1884</v>
      </c>
      <c r="B1342" s="27" t="s">
        <v>33</v>
      </c>
      <c r="C1342">
        <v>36.65</v>
      </c>
      <c r="D1342">
        <v>37</v>
      </c>
      <c r="E1342" s="27" t="s">
        <v>1885</v>
      </c>
      <c r="F1342" s="27"/>
    </row>
    <row r="1343" spans="1:6" x14ac:dyDescent="0.3">
      <c r="A1343" s="27" t="s">
        <v>1886</v>
      </c>
      <c r="B1343" s="27" t="s">
        <v>22</v>
      </c>
      <c r="C1343">
        <v>42.3</v>
      </c>
      <c r="D1343">
        <v>42.7</v>
      </c>
      <c r="E1343" s="27" t="s">
        <v>1885</v>
      </c>
      <c r="F1343" s="27"/>
    </row>
    <row r="1344" spans="1:6" x14ac:dyDescent="0.3">
      <c r="A1344" s="27" t="s">
        <v>1888</v>
      </c>
      <c r="B1344" s="27" t="s">
        <v>11</v>
      </c>
      <c r="C1344">
        <v>21</v>
      </c>
      <c r="D1344">
        <v>21.2</v>
      </c>
      <c r="E1344" s="27" t="s">
        <v>1885</v>
      </c>
      <c r="F1344" s="27"/>
    </row>
    <row r="1345" spans="1:6" x14ac:dyDescent="0.3">
      <c r="A1345" s="27" t="s">
        <v>1887</v>
      </c>
      <c r="B1345" s="27" t="s">
        <v>11</v>
      </c>
      <c r="C1345">
        <v>57.65</v>
      </c>
      <c r="D1345">
        <v>58.2</v>
      </c>
      <c r="E1345" s="27" t="s">
        <v>1885</v>
      </c>
      <c r="F1345" s="27"/>
    </row>
    <row r="1346" spans="1:6" x14ac:dyDescent="0.3">
      <c r="A1346" s="27" t="s">
        <v>2111</v>
      </c>
      <c r="B1346" s="27" t="s">
        <v>11</v>
      </c>
      <c r="C1346">
        <v>36.65</v>
      </c>
      <c r="D1346">
        <v>37</v>
      </c>
      <c r="E1346" s="27" t="s">
        <v>1885</v>
      </c>
      <c r="F1346" s="27"/>
    </row>
    <row r="1347" spans="1:6" x14ac:dyDescent="0.3">
      <c r="A1347" s="27" t="s">
        <v>1892</v>
      </c>
      <c r="B1347" s="27" t="s">
        <v>29</v>
      </c>
      <c r="C1347">
        <v>53</v>
      </c>
      <c r="D1347">
        <v>53.5</v>
      </c>
      <c r="E1347" s="27" t="s">
        <v>1890</v>
      </c>
      <c r="F1347" s="27"/>
    </row>
    <row r="1348" spans="1:6" x14ac:dyDescent="0.3">
      <c r="A1348" s="27" t="s">
        <v>1492</v>
      </c>
      <c r="B1348" s="27" t="s">
        <v>10</v>
      </c>
      <c r="C1348">
        <v>1603.85</v>
      </c>
      <c r="D1348">
        <v>1619</v>
      </c>
      <c r="E1348" s="27" t="s">
        <v>1890</v>
      </c>
      <c r="F1348" s="27"/>
    </row>
    <row r="1349" spans="1:6" x14ac:dyDescent="0.3">
      <c r="A1349" s="27" t="s">
        <v>1895</v>
      </c>
      <c r="B1349" s="27" t="s">
        <v>33</v>
      </c>
      <c r="C1349">
        <v>26.7</v>
      </c>
      <c r="D1349">
        <v>26.95</v>
      </c>
      <c r="E1349" s="27" t="s">
        <v>1890</v>
      </c>
      <c r="F1349" s="27"/>
    </row>
    <row r="1350" spans="1:6" x14ac:dyDescent="0.3">
      <c r="A1350" s="27" t="s">
        <v>1893</v>
      </c>
      <c r="B1350" s="27" t="s">
        <v>11</v>
      </c>
      <c r="C1350">
        <v>53</v>
      </c>
      <c r="D1350">
        <v>53.5</v>
      </c>
      <c r="E1350" s="27" t="s">
        <v>1890</v>
      </c>
      <c r="F1350" s="27"/>
    </row>
    <row r="1351" spans="1:6" x14ac:dyDescent="0.3">
      <c r="A1351" s="27" t="s">
        <v>1894</v>
      </c>
      <c r="B1351" s="27" t="s">
        <v>33</v>
      </c>
      <c r="C1351">
        <v>196.15</v>
      </c>
      <c r="D1351">
        <v>198</v>
      </c>
      <c r="E1351" s="27" t="s">
        <v>1890</v>
      </c>
      <c r="F1351" s="27"/>
    </row>
    <row r="1352" spans="1:6" x14ac:dyDescent="0.3">
      <c r="A1352" s="27" t="s">
        <v>1889</v>
      </c>
      <c r="B1352" s="27" t="s">
        <v>35</v>
      </c>
      <c r="C1352">
        <v>1.06</v>
      </c>
      <c r="D1352">
        <v>1.07</v>
      </c>
      <c r="E1352" s="27" t="s">
        <v>1890</v>
      </c>
      <c r="F1352" s="27"/>
    </row>
    <row r="1353" spans="1:6" x14ac:dyDescent="0.3">
      <c r="A1353" s="27" t="s">
        <v>1818</v>
      </c>
      <c r="B1353" s="27" t="s">
        <v>10</v>
      </c>
      <c r="C1353">
        <v>893.2</v>
      </c>
      <c r="D1353">
        <v>901.6</v>
      </c>
      <c r="E1353" s="27" t="s">
        <v>1890</v>
      </c>
      <c r="F1353" s="27"/>
    </row>
    <row r="1354" spans="1:6" x14ac:dyDescent="0.3">
      <c r="A1354" s="27" t="s">
        <v>1916</v>
      </c>
      <c r="B1354" s="27" t="s">
        <v>33</v>
      </c>
      <c r="C1354">
        <v>251.65</v>
      </c>
      <c r="D1354">
        <v>254</v>
      </c>
      <c r="E1354" s="27" t="s">
        <v>1897</v>
      </c>
      <c r="F1354" s="27"/>
    </row>
    <row r="1355" spans="1:6" x14ac:dyDescent="0.3">
      <c r="A1355" s="27" t="s">
        <v>1898</v>
      </c>
      <c r="B1355" s="27" t="s">
        <v>33</v>
      </c>
      <c r="C1355">
        <v>8.57</v>
      </c>
      <c r="D1355">
        <v>8.65</v>
      </c>
      <c r="E1355" s="27" t="s">
        <v>1897</v>
      </c>
      <c r="F1355" s="27"/>
    </row>
    <row r="1356" spans="1:6" x14ac:dyDescent="0.3">
      <c r="A1356" s="27" t="s">
        <v>1896</v>
      </c>
      <c r="B1356" s="27" t="s">
        <v>328</v>
      </c>
      <c r="C1356">
        <v>2.14</v>
      </c>
      <c r="D1356">
        <v>2.16</v>
      </c>
      <c r="E1356" s="27" t="s">
        <v>1897</v>
      </c>
      <c r="F1356" s="27"/>
    </row>
    <row r="1357" spans="1:6" x14ac:dyDescent="0.3">
      <c r="A1357" s="27" t="s">
        <v>1848</v>
      </c>
      <c r="B1357" s="27" t="s">
        <v>10</v>
      </c>
      <c r="C1357">
        <v>268.75</v>
      </c>
      <c r="D1357">
        <v>271.25</v>
      </c>
      <c r="E1357" s="27" t="s">
        <v>1897</v>
      </c>
      <c r="F1357" s="27"/>
    </row>
    <row r="1358" spans="1:6" x14ac:dyDescent="0.3">
      <c r="A1358" s="27" t="s">
        <v>1814</v>
      </c>
      <c r="B1358" s="27" t="s">
        <v>10</v>
      </c>
      <c r="C1358">
        <v>7587.55</v>
      </c>
      <c r="D1358">
        <v>7657.15</v>
      </c>
      <c r="E1358" s="27" t="s">
        <v>1901</v>
      </c>
      <c r="F1358" s="27"/>
    </row>
    <row r="1359" spans="1:6" x14ac:dyDescent="0.3">
      <c r="A1359" s="27" t="s">
        <v>1906</v>
      </c>
      <c r="B1359" s="27" t="s">
        <v>10</v>
      </c>
      <c r="C1359">
        <v>16.3</v>
      </c>
      <c r="D1359">
        <v>16.45</v>
      </c>
      <c r="E1359" s="27" t="s">
        <v>1901</v>
      </c>
      <c r="F1359" s="27"/>
    </row>
    <row r="1360" spans="1:6" x14ac:dyDescent="0.3">
      <c r="A1360" s="27" t="s">
        <v>1846</v>
      </c>
      <c r="B1360" s="27" t="s">
        <v>10</v>
      </c>
      <c r="C1360">
        <v>1297</v>
      </c>
      <c r="D1360">
        <v>1308.95</v>
      </c>
      <c r="E1360" s="27" t="s">
        <v>1901</v>
      </c>
      <c r="F1360" s="27"/>
    </row>
    <row r="1361" spans="1:6" x14ac:dyDescent="0.3">
      <c r="A1361" s="27" t="s">
        <v>1904</v>
      </c>
      <c r="B1361" s="27" t="s">
        <v>11</v>
      </c>
      <c r="C1361">
        <v>16.25</v>
      </c>
      <c r="D1361">
        <v>16.399999999999999</v>
      </c>
      <c r="E1361" s="27" t="s">
        <v>1901</v>
      </c>
      <c r="F1361" s="27"/>
    </row>
    <row r="1362" spans="1:6" x14ac:dyDescent="0.3">
      <c r="A1362" s="27" t="s">
        <v>1905</v>
      </c>
      <c r="B1362" s="27" t="s">
        <v>33</v>
      </c>
      <c r="C1362">
        <v>109</v>
      </c>
      <c r="D1362">
        <v>110</v>
      </c>
      <c r="E1362" s="27" t="s">
        <v>1901</v>
      </c>
      <c r="F1362" s="27"/>
    </row>
    <row r="1363" spans="1:6" x14ac:dyDescent="0.3">
      <c r="A1363" s="27" t="s">
        <v>1903</v>
      </c>
      <c r="B1363" s="27" t="s">
        <v>11</v>
      </c>
      <c r="C1363">
        <v>113.75</v>
      </c>
      <c r="D1363">
        <v>114.8</v>
      </c>
      <c r="E1363" s="27" t="s">
        <v>1901</v>
      </c>
      <c r="F1363" s="27"/>
    </row>
    <row r="1364" spans="1:6" x14ac:dyDescent="0.3">
      <c r="A1364" s="27" t="s">
        <v>1902</v>
      </c>
      <c r="B1364" s="27" t="s">
        <v>10</v>
      </c>
      <c r="C1364">
        <v>929.1</v>
      </c>
      <c r="D1364">
        <v>937.65</v>
      </c>
      <c r="E1364" s="27" t="s">
        <v>1901</v>
      </c>
      <c r="F1364" s="27"/>
    </row>
    <row r="1365" spans="1:6" x14ac:dyDescent="0.3">
      <c r="A1365" s="27" t="s">
        <v>1966</v>
      </c>
      <c r="B1365" s="27" t="s">
        <v>10</v>
      </c>
      <c r="C1365">
        <v>189.7</v>
      </c>
      <c r="D1365">
        <v>191.45</v>
      </c>
      <c r="E1365" s="27" t="s">
        <v>1901</v>
      </c>
      <c r="F1365" s="27"/>
    </row>
    <row r="1366" spans="1:6" x14ac:dyDescent="0.3">
      <c r="A1366" s="27" t="s">
        <v>1909</v>
      </c>
      <c r="B1366" s="27" t="s">
        <v>33</v>
      </c>
      <c r="C1366">
        <v>99</v>
      </c>
      <c r="D1366">
        <v>99.9</v>
      </c>
      <c r="E1366" s="27" t="s">
        <v>1908</v>
      </c>
      <c r="F1366" s="27"/>
    </row>
    <row r="1367" spans="1:6" x14ac:dyDescent="0.3">
      <c r="A1367" s="27" t="s">
        <v>1915</v>
      </c>
      <c r="B1367" s="27" t="s">
        <v>10</v>
      </c>
      <c r="C1367">
        <v>252.6</v>
      </c>
      <c r="D1367">
        <v>254.9</v>
      </c>
      <c r="E1367" s="27" t="s">
        <v>1908</v>
      </c>
      <c r="F1367" s="27"/>
    </row>
    <row r="1368" spans="1:6" x14ac:dyDescent="0.3">
      <c r="A1368" s="27" t="s">
        <v>1907</v>
      </c>
      <c r="B1368" s="27" t="s">
        <v>11</v>
      </c>
      <c r="C1368">
        <v>60.25</v>
      </c>
      <c r="D1368">
        <v>60.8</v>
      </c>
      <c r="E1368" s="27" t="s">
        <v>1908</v>
      </c>
      <c r="F1368" s="27"/>
    </row>
    <row r="1369" spans="1:6" x14ac:dyDescent="0.3">
      <c r="A1369" s="27" t="s">
        <v>1914</v>
      </c>
      <c r="B1369" s="27" t="s">
        <v>10</v>
      </c>
      <c r="C1369">
        <v>333.95</v>
      </c>
      <c r="D1369">
        <v>337</v>
      </c>
      <c r="E1369" s="27" t="s">
        <v>1908</v>
      </c>
      <c r="F1369" s="27"/>
    </row>
    <row r="1370" spans="1:6" x14ac:dyDescent="0.3">
      <c r="A1370" s="27" t="s">
        <v>1912</v>
      </c>
      <c r="B1370" s="27" t="s">
        <v>10</v>
      </c>
      <c r="C1370">
        <v>560.29999999999995</v>
      </c>
      <c r="D1370">
        <v>565.4</v>
      </c>
      <c r="E1370" s="27" t="s">
        <v>1908</v>
      </c>
      <c r="F1370" s="27"/>
    </row>
    <row r="1371" spans="1:6" x14ac:dyDescent="0.3">
      <c r="A1371" s="27" t="s">
        <v>1913</v>
      </c>
      <c r="B1371" s="27" t="s">
        <v>29</v>
      </c>
      <c r="C1371">
        <v>60.6</v>
      </c>
      <c r="D1371">
        <v>61.15</v>
      </c>
      <c r="E1371" s="27" t="s">
        <v>1908</v>
      </c>
      <c r="F1371" s="27"/>
    </row>
    <row r="1372" spans="1:6" x14ac:dyDescent="0.3">
      <c r="A1372" s="27" t="s">
        <v>1911</v>
      </c>
      <c r="B1372" s="27" t="s">
        <v>11</v>
      </c>
      <c r="C1372">
        <v>27.5</v>
      </c>
      <c r="D1372">
        <v>27.75</v>
      </c>
      <c r="E1372" s="27" t="s">
        <v>1908</v>
      </c>
      <c r="F1372" s="27"/>
    </row>
    <row r="1373" spans="1:6" x14ac:dyDescent="0.3">
      <c r="A1373" s="27" t="s">
        <v>1920</v>
      </c>
      <c r="B1373" s="27" t="s">
        <v>10</v>
      </c>
      <c r="C1373">
        <v>122.4</v>
      </c>
      <c r="D1373">
        <v>123.5</v>
      </c>
      <c r="E1373" s="27" t="s">
        <v>1918</v>
      </c>
      <c r="F1373" s="27"/>
    </row>
    <row r="1374" spans="1:6" x14ac:dyDescent="0.3">
      <c r="A1374" s="27" t="s">
        <v>1917</v>
      </c>
      <c r="B1374" s="27" t="s">
        <v>10</v>
      </c>
      <c r="C1374">
        <v>809.65</v>
      </c>
      <c r="D1374">
        <v>816.95</v>
      </c>
      <c r="E1374" s="27" t="s">
        <v>1918</v>
      </c>
      <c r="F1374" s="27"/>
    </row>
    <row r="1375" spans="1:6" x14ac:dyDescent="0.3">
      <c r="A1375" s="27" t="s">
        <v>1919</v>
      </c>
      <c r="B1375" s="27" t="s">
        <v>10</v>
      </c>
      <c r="C1375">
        <v>2779.85</v>
      </c>
      <c r="D1375">
        <v>2805</v>
      </c>
      <c r="E1375" s="27" t="s">
        <v>1918</v>
      </c>
      <c r="F1375" s="27"/>
    </row>
    <row r="1376" spans="1:6" x14ac:dyDescent="0.3">
      <c r="A1376" s="27" t="s">
        <v>1598</v>
      </c>
      <c r="B1376" s="27" t="s">
        <v>29</v>
      </c>
      <c r="C1376">
        <v>16.8</v>
      </c>
      <c r="D1376">
        <v>16.95</v>
      </c>
      <c r="E1376" s="27" t="s">
        <v>1924</v>
      </c>
      <c r="F1376" s="27"/>
    </row>
    <row r="1377" spans="1:6" x14ac:dyDescent="0.3">
      <c r="A1377" s="27" t="s">
        <v>1925</v>
      </c>
      <c r="B1377" s="27" t="s">
        <v>10</v>
      </c>
      <c r="C1377">
        <v>219.45</v>
      </c>
      <c r="D1377">
        <v>221.4</v>
      </c>
      <c r="E1377" s="27" t="s">
        <v>1924</v>
      </c>
      <c r="F1377" s="27"/>
    </row>
    <row r="1378" spans="1:6" x14ac:dyDescent="0.3">
      <c r="A1378" s="27" t="s">
        <v>1943</v>
      </c>
      <c r="B1378" s="27" t="s">
        <v>10</v>
      </c>
      <c r="C1378">
        <v>992.25</v>
      </c>
      <c r="D1378">
        <v>1001</v>
      </c>
      <c r="E1378" s="27" t="s">
        <v>1928</v>
      </c>
      <c r="F1378" s="27"/>
    </row>
    <row r="1379" spans="1:6" x14ac:dyDescent="0.3">
      <c r="A1379" s="27" t="s">
        <v>1930</v>
      </c>
      <c r="B1379" s="27" t="s">
        <v>33</v>
      </c>
      <c r="C1379">
        <v>232.9</v>
      </c>
      <c r="D1379">
        <v>234.95</v>
      </c>
      <c r="E1379" s="27" t="s">
        <v>1928</v>
      </c>
      <c r="F1379" s="27"/>
    </row>
    <row r="1380" spans="1:6" x14ac:dyDescent="0.3">
      <c r="A1380" s="27" t="s">
        <v>1945</v>
      </c>
      <c r="B1380" s="27" t="s">
        <v>10</v>
      </c>
      <c r="C1380">
        <v>964.8</v>
      </c>
      <c r="D1380">
        <v>973.25</v>
      </c>
      <c r="E1380" s="27" t="s">
        <v>1928</v>
      </c>
      <c r="F1380" s="27"/>
    </row>
    <row r="1381" spans="1:6" x14ac:dyDescent="0.3">
      <c r="A1381" s="27" t="s">
        <v>1681</v>
      </c>
      <c r="B1381" s="27" t="s">
        <v>11</v>
      </c>
      <c r="C1381">
        <v>11.3</v>
      </c>
      <c r="D1381">
        <v>11.4</v>
      </c>
      <c r="E1381" s="27" t="s">
        <v>1928</v>
      </c>
      <c r="F1381" s="27"/>
    </row>
    <row r="1382" spans="1:6" x14ac:dyDescent="0.3">
      <c r="A1382" s="27" t="s">
        <v>1927</v>
      </c>
      <c r="B1382" s="27" t="s">
        <v>29</v>
      </c>
      <c r="C1382">
        <v>6.83</v>
      </c>
      <c r="D1382">
        <v>6.89</v>
      </c>
      <c r="E1382" s="27" t="s">
        <v>1928</v>
      </c>
      <c r="F1382" s="27"/>
    </row>
    <row r="1383" spans="1:6" x14ac:dyDescent="0.3">
      <c r="A1383" s="27" t="s">
        <v>1933</v>
      </c>
      <c r="B1383" s="27" t="s">
        <v>33</v>
      </c>
      <c r="C1383">
        <v>63.5</v>
      </c>
      <c r="D1383">
        <v>64.05</v>
      </c>
      <c r="E1383" s="27" t="s">
        <v>1932</v>
      </c>
      <c r="F1383" s="27"/>
    </row>
    <row r="1384" spans="1:6" x14ac:dyDescent="0.3">
      <c r="A1384" s="27" t="s">
        <v>1936</v>
      </c>
      <c r="B1384" s="27" t="s">
        <v>11</v>
      </c>
      <c r="C1384">
        <v>74.900000000000006</v>
      </c>
      <c r="D1384">
        <v>75.55</v>
      </c>
      <c r="E1384" s="27" t="s">
        <v>1932</v>
      </c>
      <c r="F1384" s="27"/>
    </row>
    <row r="1385" spans="1:6" x14ac:dyDescent="0.3">
      <c r="A1385" s="27" t="s">
        <v>1935</v>
      </c>
      <c r="B1385" s="27" t="s">
        <v>11</v>
      </c>
      <c r="C1385">
        <v>68.95</v>
      </c>
      <c r="D1385">
        <v>69.55</v>
      </c>
      <c r="E1385" s="27" t="s">
        <v>1932</v>
      </c>
      <c r="F1385" s="27"/>
    </row>
    <row r="1386" spans="1:6" x14ac:dyDescent="0.3">
      <c r="A1386" s="27" t="s">
        <v>1934</v>
      </c>
      <c r="B1386" s="27" t="s">
        <v>11</v>
      </c>
      <c r="C1386">
        <v>120.55</v>
      </c>
      <c r="D1386">
        <v>121.6</v>
      </c>
      <c r="E1386" s="27" t="s">
        <v>1932</v>
      </c>
      <c r="F1386" s="27"/>
    </row>
    <row r="1387" spans="1:6" x14ac:dyDescent="0.3">
      <c r="A1387" s="27" t="s">
        <v>1793</v>
      </c>
      <c r="B1387" s="27" t="s">
        <v>33</v>
      </c>
      <c r="C1387">
        <v>23.1</v>
      </c>
      <c r="D1387">
        <v>23.3</v>
      </c>
      <c r="E1387" s="27" t="s">
        <v>1932</v>
      </c>
      <c r="F1387" s="27"/>
    </row>
    <row r="1388" spans="1:6" x14ac:dyDescent="0.3">
      <c r="A1388" s="27" t="s">
        <v>1940</v>
      </c>
      <c r="B1388" s="27" t="s">
        <v>29</v>
      </c>
      <c r="C1388">
        <v>87.2</v>
      </c>
      <c r="D1388">
        <v>87.95</v>
      </c>
      <c r="E1388" s="27" t="s">
        <v>1939</v>
      </c>
      <c r="F1388" s="27"/>
    </row>
    <row r="1389" spans="1:6" x14ac:dyDescent="0.3">
      <c r="A1389" s="27" t="s">
        <v>1938</v>
      </c>
      <c r="B1389" s="27" t="s">
        <v>10</v>
      </c>
      <c r="C1389">
        <v>689.35</v>
      </c>
      <c r="D1389">
        <v>695.25</v>
      </c>
      <c r="E1389" s="27" t="s">
        <v>1939</v>
      </c>
      <c r="F1389" s="27"/>
    </row>
    <row r="1390" spans="1:6" x14ac:dyDescent="0.3">
      <c r="A1390" s="27" t="s">
        <v>1944</v>
      </c>
      <c r="B1390" s="27" t="s">
        <v>11</v>
      </c>
      <c r="C1390">
        <v>69.400000000000006</v>
      </c>
      <c r="D1390">
        <v>70</v>
      </c>
      <c r="E1390" s="27" t="s">
        <v>1939</v>
      </c>
      <c r="F1390" s="27"/>
    </row>
    <row r="1391" spans="1:6" x14ac:dyDescent="0.3">
      <c r="A1391" s="27" t="s">
        <v>1941</v>
      </c>
      <c r="B1391" s="27" t="s">
        <v>33</v>
      </c>
      <c r="C1391">
        <v>139.6</v>
      </c>
      <c r="D1391">
        <v>140.80000000000001</v>
      </c>
      <c r="E1391" s="27" t="s">
        <v>1939</v>
      </c>
      <c r="F1391" s="27"/>
    </row>
    <row r="1392" spans="1:6" x14ac:dyDescent="0.3">
      <c r="A1392" s="27" t="s">
        <v>1942</v>
      </c>
      <c r="B1392" s="27" t="s">
        <v>11</v>
      </c>
      <c r="C1392">
        <v>64</v>
      </c>
      <c r="D1392">
        <v>64.55</v>
      </c>
      <c r="E1392" s="27" t="s">
        <v>1939</v>
      </c>
      <c r="F1392" s="27"/>
    </row>
    <row r="1393" spans="1:6" x14ac:dyDescent="0.3">
      <c r="A1393" s="27" t="s">
        <v>1948</v>
      </c>
      <c r="B1393" s="27" t="s">
        <v>33</v>
      </c>
      <c r="C1393">
        <v>14.04</v>
      </c>
      <c r="D1393">
        <v>14.16</v>
      </c>
      <c r="E1393" s="27" t="s">
        <v>1947</v>
      </c>
      <c r="F1393" s="27"/>
    </row>
    <row r="1394" spans="1:6" x14ac:dyDescent="0.3">
      <c r="A1394" s="27" t="s">
        <v>1949</v>
      </c>
      <c r="B1394" s="27" t="s">
        <v>10</v>
      </c>
      <c r="C1394">
        <v>135.69999999999999</v>
      </c>
      <c r="D1394">
        <v>136.85</v>
      </c>
      <c r="E1394" s="27" t="s">
        <v>1947</v>
      </c>
      <c r="F1394" s="27"/>
    </row>
    <row r="1395" spans="1:6" x14ac:dyDescent="0.3">
      <c r="A1395" s="27" t="s">
        <v>1950</v>
      </c>
      <c r="B1395" s="27" t="s">
        <v>33</v>
      </c>
      <c r="C1395">
        <v>810.55</v>
      </c>
      <c r="D1395">
        <v>817.35</v>
      </c>
      <c r="E1395" s="27" t="s">
        <v>1951</v>
      </c>
      <c r="F1395" s="27"/>
    </row>
    <row r="1396" spans="1:6" x14ac:dyDescent="0.3">
      <c r="A1396" s="27" t="s">
        <v>1952</v>
      </c>
      <c r="B1396" s="27" t="s">
        <v>33</v>
      </c>
      <c r="C1396">
        <v>23.8</v>
      </c>
      <c r="D1396">
        <v>24</v>
      </c>
      <c r="E1396" s="27" t="s">
        <v>1951</v>
      </c>
      <c r="F1396" s="27"/>
    </row>
    <row r="1397" spans="1:6" x14ac:dyDescent="0.3">
      <c r="A1397" s="27" t="s">
        <v>1954</v>
      </c>
      <c r="B1397" s="27" t="s">
        <v>33</v>
      </c>
      <c r="C1397">
        <v>7.13</v>
      </c>
      <c r="D1397">
        <v>7.19</v>
      </c>
      <c r="E1397" s="27" t="s">
        <v>1951</v>
      </c>
      <c r="F1397" s="27"/>
    </row>
    <row r="1398" spans="1:6" x14ac:dyDescent="0.3">
      <c r="A1398" s="27" t="s">
        <v>1957</v>
      </c>
      <c r="B1398" s="27" t="s">
        <v>11</v>
      </c>
      <c r="C1398">
        <v>42.2</v>
      </c>
      <c r="D1398">
        <v>42.55</v>
      </c>
      <c r="E1398" s="27" t="s">
        <v>1956</v>
      </c>
      <c r="F1398" s="27"/>
    </row>
    <row r="1399" spans="1:6" x14ac:dyDescent="0.3">
      <c r="A1399" s="27" t="s">
        <v>1955</v>
      </c>
      <c r="B1399" s="27" t="s">
        <v>33</v>
      </c>
      <c r="C1399">
        <v>1.21</v>
      </c>
      <c r="D1399">
        <v>1.22</v>
      </c>
      <c r="E1399" s="27" t="s">
        <v>1956</v>
      </c>
      <c r="F1399" s="27"/>
    </row>
    <row r="1400" spans="1:6" x14ac:dyDescent="0.3">
      <c r="A1400" s="27" t="s">
        <v>1958</v>
      </c>
      <c r="B1400" s="27" t="s">
        <v>11</v>
      </c>
      <c r="C1400">
        <v>54</v>
      </c>
      <c r="D1400">
        <v>54.45</v>
      </c>
      <c r="E1400" s="27" t="s">
        <v>1956</v>
      </c>
      <c r="F1400" s="27"/>
    </row>
    <row r="1401" spans="1:6" x14ac:dyDescent="0.3">
      <c r="A1401" s="27" t="s">
        <v>1960</v>
      </c>
      <c r="B1401" s="27" t="s">
        <v>10</v>
      </c>
      <c r="C1401">
        <v>336.15</v>
      </c>
      <c r="D1401">
        <v>338.95</v>
      </c>
      <c r="E1401" s="27" t="s">
        <v>1956</v>
      </c>
      <c r="F1401" s="27"/>
    </row>
    <row r="1402" spans="1:6" x14ac:dyDescent="0.3">
      <c r="A1402" s="27" t="s">
        <v>2116</v>
      </c>
      <c r="B1402" s="27" t="s">
        <v>10</v>
      </c>
      <c r="C1402">
        <v>102.55</v>
      </c>
      <c r="D1402">
        <v>103.4</v>
      </c>
      <c r="E1402" s="27" t="s">
        <v>1956</v>
      </c>
      <c r="F1402" s="27"/>
    </row>
    <row r="1403" spans="1:6" x14ac:dyDescent="0.3">
      <c r="A1403" s="27" t="s">
        <v>1959</v>
      </c>
      <c r="B1403" s="27" t="s">
        <v>11</v>
      </c>
      <c r="C1403">
        <v>108.45</v>
      </c>
      <c r="D1403">
        <v>109.35</v>
      </c>
      <c r="E1403" s="27" t="s">
        <v>1956</v>
      </c>
      <c r="F1403" s="27"/>
    </row>
    <row r="1404" spans="1:6" x14ac:dyDescent="0.3">
      <c r="A1404" s="27" t="s">
        <v>1965</v>
      </c>
      <c r="B1404" s="27" t="s">
        <v>10</v>
      </c>
      <c r="C1404">
        <v>134.75</v>
      </c>
      <c r="D1404">
        <v>135.85</v>
      </c>
      <c r="E1404" s="27" t="s">
        <v>1964</v>
      </c>
      <c r="F1404" s="27"/>
    </row>
    <row r="1405" spans="1:6" x14ac:dyDescent="0.3">
      <c r="A1405" s="27" t="s">
        <v>1967</v>
      </c>
      <c r="B1405" s="27" t="s">
        <v>29</v>
      </c>
      <c r="C1405">
        <v>36.4</v>
      </c>
      <c r="D1405">
        <v>36.700000000000003</v>
      </c>
      <c r="E1405" s="27" t="s">
        <v>1964</v>
      </c>
      <c r="F1405" s="27"/>
    </row>
    <row r="1406" spans="1:6" x14ac:dyDescent="0.3">
      <c r="A1406" s="27" t="s">
        <v>1968</v>
      </c>
      <c r="B1406" s="27" t="s">
        <v>10</v>
      </c>
      <c r="C1406">
        <v>579.70000000000005</v>
      </c>
      <c r="D1406">
        <v>584.45000000000005</v>
      </c>
      <c r="E1406" s="27" t="s">
        <v>1964</v>
      </c>
      <c r="F1406" s="27"/>
    </row>
    <row r="1407" spans="1:6" x14ac:dyDescent="0.3">
      <c r="A1407" s="27" t="s">
        <v>1996</v>
      </c>
      <c r="B1407" s="27" t="s">
        <v>10</v>
      </c>
      <c r="C1407">
        <v>414.85</v>
      </c>
      <c r="D1407">
        <v>418.2</v>
      </c>
      <c r="E1407" s="27" t="s">
        <v>1969</v>
      </c>
      <c r="F1407" s="27"/>
    </row>
    <row r="1408" spans="1:6" x14ac:dyDescent="0.3">
      <c r="A1408" s="27" t="s">
        <v>1923</v>
      </c>
      <c r="B1408" s="27" t="s">
        <v>11</v>
      </c>
      <c r="C1408">
        <v>12.4</v>
      </c>
      <c r="D1408">
        <v>12.5</v>
      </c>
      <c r="E1408" s="27" t="s">
        <v>1969</v>
      </c>
      <c r="F1408" s="27"/>
    </row>
    <row r="1409" spans="1:6" x14ac:dyDescent="0.3">
      <c r="A1409" s="27" t="s">
        <v>1921</v>
      </c>
      <c r="B1409" s="27" t="s">
        <v>10</v>
      </c>
      <c r="C1409">
        <v>961.1</v>
      </c>
      <c r="D1409">
        <v>968.85</v>
      </c>
      <c r="E1409" s="27" t="s">
        <v>1969</v>
      </c>
      <c r="F1409" s="27"/>
    </row>
    <row r="1410" spans="1:6" x14ac:dyDescent="0.3">
      <c r="A1410" s="27" t="s">
        <v>2201</v>
      </c>
      <c r="B1410" s="27" t="s">
        <v>10</v>
      </c>
      <c r="C1410">
        <v>92.2</v>
      </c>
      <c r="D1410">
        <v>92.95</v>
      </c>
      <c r="E1410" s="27" t="s">
        <v>1969</v>
      </c>
      <c r="F1410" s="27"/>
    </row>
    <row r="1411" spans="1:6" x14ac:dyDescent="0.3">
      <c r="A1411" s="27" t="s">
        <v>1972</v>
      </c>
      <c r="B1411" s="27" t="s">
        <v>11</v>
      </c>
      <c r="C1411">
        <v>218</v>
      </c>
      <c r="D1411">
        <v>219.75</v>
      </c>
      <c r="E1411" s="27" t="s">
        <v>1971</v>
      </c>
      <c r="F1411" s="27"/>
    </row>
    <row r="1412" spans="1:6" x14ac:dyDescent="0.3">
      <c r="A1412" s="27" t="s">
        <v>1872</v>
      </c>
      <c r="B1412" s="27" t="s">
        <v>33</v>
      </c>
      <c r="C1412">
        <v>521.85</v>
      </c>
      <c r="D1412">
        <v>526</v>
      </c>
      <c r="E1412" s="27" t="s">
        <v>1971</v>
      </c>
      <c r="F1412" s="27"/>
    </row>
    <row r="1413" spans="1:6" x14ac:dyDescent="0.3">
      <c r="A1413" s="27" t="s">
        <v>1976</v>
      </c>
      <c r="B1413" s="27" t="s">
        <v>11</v>
      </c>
      <c r="C1413">
        <v>121</v>
      </c>
      <c r="D1413">
        <v>121.95</v>
      </c>
      <c r="E1413" s="27" t="s">
        <v>1974</v>
      </c>
      <c r="F1413" s="27"/>
    </row>
    <row r="1414" spans="1:6" x14ac:dyDescent="0.3">
      <c r="A1414" s="27" t="s">
        <v>1978</v>
      </c>
      <c r="B1414" s="27" t="s">
        <v>10</v>
      </c>
      <c r="C1414">
        <v>3304.5</v>
      </c>
      <c r="D1414">
        <v>3330.5</v>
      </c>
      <c r="E1414" s="27" t="s">
        <v>1974</v>
      </c>
      <c r="F1414" s="27"/>
    </row>
    <row r="1415" spans="1:6" x14ac:dyDescent="0.3">
      <c r="A1415" s="27" t="s">
        <v>1977</v>
      </c>
      <c r="B1415" s="27" t="s">
        <v>11</v>
      </c>
      <c r="C1415">
        <v>44.5</v>
      </c>
      <c r="D1415">
        <v>44.85</v>
      </c>
      <c r="E1415" s="27" t="s">
        <v>1974</v>
      </c>
      <c r="F1415" s="27"/>
    </row>
    <row r="1416" spans="1:6" x14ac:dyDescent="0.3">
      <c r="A1416" s="27" t="s">
        <v>1975</v>
      </c>
      <c r="B1416" s="27" t="s">
        <v>33</v>
      </c>
      <c r="C1416">
        <v>38.200000000000003</v>
      </c>
      <c r="D1416">
        <v>38.5</v>
      </c>
      <c r="E1416" s="27" t="s">
        <v>1974</v>
      </c>
      <c r="F1416" s="27"/>
    </row>
    <row r="1417" spans="1:6" x14ac:dyDescent="0.3">
      <c r="A1417" s="27" t="s">
        <v>1983</v>
      </c>
      <c r="B1417" s="27" t="s">
        <v>33</v>
      </c>
      <c r="C1417">
        <v>19.3</v>
      </c>
      <c r="D1417">
        <v>19.45</v>
      </c>
      <c r="E1417" s="27" t="s">
        <v>1980</v>
      </c>
      <c r="F1417" s="27"/>
    </row>
    <row r="1418" spans="1:6" x14ac:dyDescent="0.3">
      <c r="A1418" s="27" t="s">
        <v>1985</v>
      </c>
      <c r="B1418" s="27" t="s">
        <v>33</v>
      </c>
      <c r="C1418">
        <v>486.7</v>
      </c>
      <c r="D1418">
        <v>490.5</v>
      </c>
      <c r="E1418" s="27" t="s">
        <v>1980</v>
      </c>
      <c r="F1418" s="27"/>
    </row>
    <row r="1419" spans="1:6" x14ac:dyDescent="0.3">
      <c r="A1419" s="27" t="s">
        <v>1982</v>
      </c>
      <c r="B1419" s="27" t="s">
        <v>10</v>
      </c>
      <c r="C1419">
        <v>2414.25</v>
      </c>
      <c r="D1419">
        <v>2433</v>
      </c>
      <c r="E1419" s="27" t="s">
        <v>1980</v>
      </c>
      <c r="F1419" s="27"/>
    </row>
    <row r="1420" spans="1:6" x14ac:dyDescent="0.3">
      <c r="A1420" s="27" t="s">
        <v>1984</v>
      </c>
      <c r="B1420" s="27" t="s">
        <v>328</v>
      </c>
      <c r="C1420">
        <v>25.55</v>
      </c>
      <c r="D1420">
        <v>25.75</v>
      </c>
      <c r="E1420" s="27" t="s">
        <v>1980</v>
      </c>
      <c r="F1420" s="27"/>
    </row>
    <row r="1421" spans="1:6" x14ac:dyDescent="0.3">
      <c r="A1421" s="27" t="s">
        <v>2184</v>
      </c>
      <c r="B1421" s="27" t="s">
        <v>10</v>
      </c>
      <c r="C1421">
        <v>153.69999999999999</v>
      </c>
      <c r="D1421">
        <v>154.9</v>
      </c>
      <c r="E1421" s="27" t="s">
        <v>1980</v>
      </c>
      <c r="F1421" s="27"/>
    </row>
    <row r="1422" spans="1:6" x14ac:dyDescent="0.3">
      <c r="A1422" s="27" t="s">
        <v>1910</v>
      </c>
      <c r="B1422" s="27" t="s">
        <v>10</v>
      </c>
      <c r="C1422">
        <v>76.849999999999994</v>
      </c>
      <c r="D1422">
        <v>77.45</v>
      </c>
      <c r="E1422" s="27" t="s">
        <v>1980</v>
      </c>
      <c r="F1422" s="27"/>
    </row>
    <row r="1423" spans="1:6" x14ac:dyDescent="0.3">
      <c r="A1423" s="27" t="s">
        <v>1989</v>
      </c>
      <c r="B1423" s="27" t="s">
        <v>11</v>
      </c>
      <c r="C1423">
        <v>1443.9</v>
      </c>
      <c r="D1423">
        <v>1455</v>
      </c>
      <c r="E1423" s="27" t="s">
        <v>1987</v>
      </c>
      <c r="F1423" s="27"/>
    </row>
    <row r="1424" spans="1:6" x14ac:dyDescent="0.3">
      <c r="A1424" s="27" t="s">
        <v>1988</v>
      </c>
      <c r="B1424" s="27" t="s">
        <v>33</v>
      </c>
      <c r="C1424">
        <v>45.75</v>
      </c>
      <c r="D1424">
        <v>46.1</v>
      </c>
      <c r="E1424" s="27" t="s">
        <v>1987</v>
      </c>
      <c r="F1424" s="27"/>
    </row>
    <row r="1425" spans="1:6" x14ac:dyDescent="0.3">
      <c r="A1425" s="27" t="s">
        <v>2070</v>
      </c>
      <c r="B1425" s="27" t="s">
        <v>10</v>
      </c>
      <c r="C1425">
        <v>342.8</v>
      </c>
      <c r="D1425">
        <v>345.45</v>
      </c>
      <c r="E1425" s="27" t="s">
        <v>1987</v>
      </c>
      <c r="F1425" s="27"/>
    </row>
    <row r="1426" spans="1:6" x14ac:dyDescent="0.3">
      <c r="A1426" s="27" t="s">
        <v>1991</v>
      </c>
      <c r="B1426" s="27" t="s">
        <v>33</v>
      </c>
      <c r="C1426">
        <v>32.5</v>
      </c>
      <c r="D1426">
        <v>32.75</v>
      </c>
      <c r="E1426" s="27" t="s">
        <v>1987</v>
      </c>
      <c r="F1426" s="27"/>
    </row>
    <row r="1427" spans="1:6" x14ac:dyDescent="0.3">
      <c r="A1427" s="27" t="s">
        <v>1992</v>
      </c>
      <c r="B1427" s="27" t="s">
        <v>22</v>
      </c>
      <c r="C1427">
        <v>5.2</v>
      </c>
      <c r="D1427">
        <v>5.24</v>
      </c>
      <c r="E1427" s="27" t="s">
        <v>1987</v>
      </c>
      <c r="F1427" s="27"/>
    </row>
    <row r="1428" spans="1:6" x14ac:dyDescent="0.3">
      <c r="A1428" s="27" t="s">
        <v>1993</v>
      </c>
      <c r="B1428" s="27" t="s">
        <v>10</v>
      </c>
      <c r="C1428">
        <v>122.9</v>
      </c>
      <c r="D1428">
        <v>123.85</v>
      </c>
      <c r="E1428" s="27" t="s">
        <v>1987</v>
      </c>
      <c r="F1428" s="27"/>
    </row>
    <row r="1429" spans="1:6" x14ac:dyDescent="0.3">
      <c r="A1429" s="27" t="s">
        <v>1994</v>
      </c>
      <c r="B1429" s="27" t="s">
        <v>33</v>
      </c>
      <c r="C1429">
        <v>26.25</v>
      </c>
      <c r="D1429">
        <v>26.45</v>
      </c>
      <c r="E1429" s="27" t="s">
        <v>1995</v>
      </c>
      <c r="F1429" s="27"/>
    </row>
    <row r="1430" spans="1:6" x14ac:dyDescent="0.3">
      <c r="A1430" s="27" t="s">
        <v>1997</v>
      </c>
      <c r="B1430" s="27" t="s">
        <v>29</v>
      </c>
      <c r="C1430">
        <v>39.700000000000003</v>
      </c>
      <c r="D1430">
        <v>40</v>
      </c>
      <c r="E1430" s="27" t="s">
        <v>1995</v>
      </c>
      <c r="F1430" s="27"/>
    </row>
    <row r="1431" spans="1:6" x14ac:dyDescent="0.3">
      <c r="A1431" s="27" t="s">
        <v>1878</v>
      </c>
      <c r="B1431" s="27" t="s">
        <v>10</v>
      </c>
      <c r="C1431">
        <v>124.75</v>
      </c>
      <c r="D1431">
        <v>125.7</v>
      </c>
      <c r="E1431" s="27" t="s">
        <v>1995</v>
      </c>
      <c r="F1431" s="27"/>
    </row>
    <row r="1432" spans="1:6" x14ac:dyDescent="0.3">
      <c r="A1432" s="27" t="s">
        <v>1999</v>
      </c>
      <c r="B1432" s="27" t="s">
        <v>22</v>
      </c>
      <c r="C1432">
        <v>7.94</v>
      </c>
      <c r="D1432">
        <v>8</v>
      </c>
      <c r="E1432" s="27" t="s">
        <v>1995</v>
      </c>
      <c r="F1432" s="27"/>
    </row>
    <row r="1433" spans="1:6" x14ac:dyDescent="0.3">
      <c r="A1433" s="27" t="s">
        <v>2001</v>
      </c>
      <c r="B1433" s="27" t="s">
        <v>11</v>
      </c>
      <c r="C1433">
        <v>430.25</v>
      </c>
      <c r="D1433">
        <v>433.5</v>
      </c>
      <c r="E1433" s="27" t="s">
        <v>1995</v>
      </c>
      <c r="F1433" s="27"/>
    </row>
    <row r="1434" spans="1:6" x14ac:dyDescent="0.3">
      <c r="A1434" s="27" t="s">
        <v>1998</v>
      </c>
      <c r="B1434" s="27" t="s">
        <v>11</v>
      </c>
      <c r="C1434">
        <v>379.8</v>
      </c>
      <c r="D1434">
        <v>382.7</v>
      </c>
      <c r="E1434" s="27" t="s">
        <v>1995</v>
      </c>
      <c r="F1434" s="27"/>
    </row>
    <row r="1435" spans="1:6" x14ac:dyDescent="0.3">
      <c r="A1435" s="27" t="s">
        <v>2000</v>
      </c>
      <c r="B1435" s="27" t="s">
        <v>33</v>
      </c>
      <c r="C1435">
        <v>11.89</v>
      </c>
      <c r="D1435">
        <v>11.98</v>
      </c>
      <c r="E1435" s="27" t="s">
        <v>1995</v>
      </c>
      <c r="F1435" s="27"/>
    </row>
    <row r="1436" spans="1:6" x14ac:dyDescent="0.3">
      <c r="A1436" s="27" t="s">
        <v>1962</v>
      </c>
      <c r="B1436" s="27" t="s">
        <v>10</v>
      </c>
      <c r="C1436">
        <v>13.26</v>
      </c>
      <c r="D1436">
        <v>13.36</v>
      </c>
      <c r="E1436" s="27" t="s">
        <v>2003</v>
      </c>
      <c r="F1436" s="27"/>
    </row>
    <row r="1437" spans="1:6" x14ac:dyDescent="0.3">
      <c r="A1437" s="27" t="s">
        <v>2008</v>
      </c>
      <c r="B1437" s="27" t="s">
        <v>33</v>
      </c>
      <c r="C1437">
        <v>629.29999999999995</v>
      </c>
      <c r="D1437">
        <v>634</v>
      </c>
      <c r="E1437" s="27" t="s">
        <v>2003</v>
      </c>
      <c r="F1437" s="27"/>
    </row>
    <row r="1438" spans="1:6" x14ac:dyDescent="0.3">
      <c r="A1438" s="27" t="s">
        <v>1177</v>
      </c>
      <c r="B1438" s="27" t="s">
        <v>11</v>
      </c>
      <c r="C1438">
        <v>12.02</v>
      </c>
      <c r="D1438">
        <v>12.11</v>
      </c>
      <c r="E1438" s="27" t="s">
        <v>2003</v>
      </c>
      <c r="F1438" s="27"/>
    </row>
    <row r="1439" spans="1:6" x14ac:dyDescent="0.3">
      <c r="A1439" s="27" t="s">
        <v>2002</v>
      </c>
      <c r="B1439" s="27" t="s">
        <v>10</v>
      </c>
      <c r="C1439">
        <v>650.04999999999995</v>
      </c>
      <c r="D1439">
        <v>654.95000000000005</v>
      </c>
      <c r="E1439" s="27" t="s">
        <v>2003</v>
      </c>
      <c r="F1439" s="27"/>
    </row>
    <row r="1440" spans="1:6" x14ac:dyDescent="0.3">
      <c r="A1440" s="27" t="s">
        <v>2006</v>
      </c>
      <c r="B1440" s="27" t="s">
        <v>33</v>
      </c>
      <c r="C1440">
        <v>60.3</v>
      </c>
      <c r="D1440">
        <v>60.75</v>
      </c>
      <c r="E1440" s="27" t="s">
        <v>2003</v>
      </c>
      <c r="F1440" s="27"/>
    </row>
    <row r="1441" spans="1:6" x14ac:dyDescent="0.3">
      <c r="A1441" s="27" t="s">
        <v>2009</v>
      </c>
      <c r="B1441" s="27" t="s">
        <v>33</v>
      </c>
      <c r="C1441">
        <v>1.33</v>
      </c>
      <c r="D1441">
        <v>1.34</v>
      </c>
      <c r="E1441" s="27" t="s">
        <v>2003</v>
      </c>
      <c r="F1441" s="27"/>
    </row>
    <row r="1442" spans="1:6" x14ac:dyDescent="0.3">
      <c r="A1442" s="27" t="s">
        <v>1760</v>
      </c>
      <c r="B1442" s="27" t="s">
        <v>10</v>
      </c>
      <c r="C1442">
        <v>86.4</v>
      </c>
      <c r="D1442">
        <v>87.05</v>
      </c>
      <c r="E1442" s="27" t="s">
        <v>2003</v>
      </c>
      <c r="F1442" s="27"/>
    </row>
    <row r="1443" spans="1:6" x14ac:dyDescent="0.3">
      <c r="A1443" s="27" t="s">
        <v>2007</v>
      </c>
      <c r="B1443" s="27" t="s">
        <v>10</v>
      </c>
      <c r="C1443">
        <v>978.5</v>
      </c>
      <c r="D1443">
        <v>985.85</v>
      </c>
      <c r="E1443" s="27" t="s">
        <v>2003</v>
      </c>
      <c r="F1443" s="27"/>
    </row>
    <row r="1444" spans="1:6" x14ac:dyDescent="0.3">
      <c r="A1444" s="27" t="s">
        <v>1857</v>
      </c>
      <c r="B1444" s="27" t="s">
        <v>11</v>
      </c>
      <c r="C1444">
        <v>347.55</v>
      </c>
      <c r="D1444">
        <v>350.15</v>
      </c>
      <c r="E1444" s="27" t="s">
        <v>2003</v>
      </c>
      <c r="F1444" s="27"/>
    </row>
    <row r="1445" spans="1:6" x14ac:dyDescent="0.3">
      <c r="A1445" s="27" t="s">
        <v>2015</v>
      </c>
      <c r="B1445" s="27" t="s">
        <v>11</v>
      </c>
      <c r="C1445">
        <v>2.7</v>
      </c>
      <c r="D1445">
        <v>2.72</v>
      </c>
      <c r="E1445" s="27" t="s">
        <v>2011</v>
      </c>
      <c r="F1445" s="27"/>
    </row>
    <row r="1446" spans="1:6" x14ac:dyDescent="0.3">
      <c r="A1446" s="27" t="s">
        <v>2012</v>
      </c>
      <c r="B1446" s="27" t="s">
        <v>33</v>
      </c>
      <c r="C1446">
        <v>27.05</v>
      </c>
      <c r="D1446">
        <v>27.25</v>
      </c>
      <c r="E1446" s="27" t="s">
        <v>2011</v>
      </c>
      <c r="F1446" s="27"/>
    </row>
    <row r="1447" spans="1:6" x14ac:dyDescent="0.3">
      <c r="A1447" s="27" t="s">
        <v>2014</v>
      </c>
      <c r="B1447" s="27" t="s">
        <v>33</v>
      </c>
      <c r="C1447">
        <v>54.25</v>
      </c>
      <c r="D1447">
        <v>54.65</v>
      </c>
      <c r="E1447" s="27" t="s">
        <v>2011</v>
      </c>
      <c r="F1447" s="27"/>
    </row>
    <row r="1448" spans="1:6" x14ac:dyDescent="0.3">
      <c r="A1448" s="27" t="s">
        <v>2010</v>
      </c>
      <c r="B1448" s="27" t="s">
        <v>10</v>
      </c>
      <c r="C1448">
        <v>7084.75</v>
      </c>
      <c r="D1448">
        <v>7136.85</v>
      </c>
      <c r="E1448" s="27" t="s">
        <v>2011</v>
      </c>
      <c r="F1448" s="27"/>
    </row>
    <row r="1449" spans="1:6" x14ac:dyDescent="0.3">
      <c r="A1449" s="27" t="s">
        <v>2013</v>
      </c>
      <c r="B1449" s="27" t="s">
        <v>11</v>
      </c>
      <c r="C1449">
        <v>275.2</v>
      </c>
      <c r="D1449">
        <v>277.25</v>
      </c>
      <c r="E1449" s="27" t="s">
        <v>2011</v>
      </c>
      <c r="F1449" s="27"/>
    </row>
    <row r="1450" spans="1:6" x14ac:dyDescent="0.3">
      <c r="A1450" s="27" t="s">
        <v>2020</v>
      </c>
      <c r="B1450" s="27" t="s">
        <v>11</v>
      </c>
      <c r="C1450">
        <v>75.8</v>
      </c>
      <c r="D1450">
        <v>76.349999999999994</v>
      </c>
      <c r="E1450" s="27" t="s">
        <v>2017</v>
      </c>
      <c r="F1450" s="27"/>
    </row>
    <row r="1451" spans="1:6" x14ac:dyDescent="0.3">
      <c r="A1451" s="27" t="s">
        <v>2018</v>
      </c>
      <c r="B1451" s="27" t="s">
        <v>11</v>
      </c>
      <c r="C1451">
        <v>75.400000000000006</v>
      </c>
      <c r="D1451">
        <v>75.95</v>
      </c>
      <c r="E1451" s="27" t="s">
        <v>2017</v>
      </c>
      <c r="F1451" s="27"/>
    </row>
    <row r="1452" spans="1:6" x14ac:dyDescent="0.3">
      <c r="A1452" s="27" t="s">
        <v>2016</v>
      </c>
      <c r="B1452" s="27" t="s">
        <v>33</v>
      </c>
      <c r="C1452">
        <v>1101.95</v>
      </c>
      <c r="D1452">
        <v>1110</v>
      </c>
      <c r="E1452" s="27" t="s">
        <v>2017</v>
      </c>
      <c r="F1452" s="27"/>
    </row>
    <row r="1453" spans="1:6" x14ac:dyDescent="0.3">
      <c r="A1453" s="27" t="s">
        <v>3372</v>
      </c>
      <c r="B1453" s="27" t="s">
        <v>11</v>
      </c>
      <c r="C1453">
        <v>2.79</v>
      </c>
      <c r="D1453">
        <v>2.81</v>
      </c>
      <c r="E1453" s="27" t="s">
        <v>2022</v>
      </c>
      <c r="F1453" s="27"/>
    </row>
    <row r="1454" spans="1:6" x14ac:dyDescent="0.3">
      <c r="A1454" s="27" t="s">
        <v>2024</v>
      </c>
      <c r="B1454" s="27" t="s">
        <v>10</v>
      </c>
      <c r="C1454">
        <v>279.05</v>
      </c>
      <c r="D1454">
        <v>281.05</v>
      </c>
      <c r="E1454" s="27" t="s">
        <v>2022</v>
      </c>
      <c r="F1454" s="27"/>
    </row>
    <row r="1455" spans="1:6" x14ac:dyDescent="0.3">
      <c r="A1455" s="27" t="s">
        <v>2027</v>
      </c>
      <c r="B1455" s="27" t="s">
        <v>11</v>
      </c>
      <c r="C1455">
        <v>97.9</v>
      </c>
      <c r="D1455">
        <v>98.6</v>
      </c>
      <c r="E1455" s="27" t="s">
        <v>2022</v>
      </c>
      <c r="F1455" s="27"/>
    </row>
    <row r="1456" spans="1:6" x14ac:dyDescent="0.3">
      <c r="A1456" s="27" t="s">
        <v>2025</v>
      </c>
      <c r="B1456" s="27" t="s">
        <v>328</v>
      </c>
      <c r="C1456">
        <v>55.55</v>
      </c>
      <c r="D1456">
        <v>55.95</v>
      </c>
      <c r="E1456" s="27" t="s">
        <v>2022</v>
      </c>
      <c r="F1456" s="27"/>
    </row>
    <row r="1457" spans="1:6" x14ac:dyDescent="0.3">
      <c r="A1457" s="27" t="s">
        <v>2026</v>
      </c>
      <c r="B1457" s="27" t="s">
        <v>33</v>
      </c>
      <c r="C1457">
        <v>4006.35</v>
      </c>
      <c r="D1457">
        <v>4035</v>
      </c>
      <c r="E1457" s="27" t="s">
        <v>2022</v>
      </c>
      <c r="F1457" s="27"/>
    </row>
    <row r="1458" spans="1:6" x14ac:dyDescent="0.3">
      <c r="A1458" s="27" t="s">
        <v>2153</v>
      </c>
      <c r="B1458" s="27" t="s">
        <v>11</v>
      </c>
      <c r="C1458">
        <v>41.8</v>
      </c>
      <c r="D1458">
        <v>42.1</v>
      </c>
      <c r="E1458" s="27" t="s">
        <v>2022</v>
      </c>
      <c r="F1458" s="27"/>
    </row>
    <row r="1459" spans="1:6" x14ac:dyDescent="0.3">
      <c r="A1459" s="27" t="s">
        <v>2031</v>
      </c>
      <c r="B1459" s="27" t="s">
        <v>11</v>
      </c>
      <c r="C1459">
        <v>28.25</v>
      </c>
      <c r="D1459">
        <v>28.45</v>
      </c>
      <c r="E1459" s="27" t="s">
        <v>2029</v>
      </c>
      <c r="F1459" s="27"/>
    </row>
    <row r="1460" spans="1:6" x14ac:dyDescent="0.3">
      <c r="A1460" s="27" t="s">
        <v>2131</v>
      </c>
      <c r="B1460" s="27" t="s">
        <v>10</v>
      </c>
      <c r="C1460">
        <v>629.45000000000005</v>
      </c>
      <c r="D1460">
        <v>633.9</v>
      </c>
      <c r="E1460" s="27" t="s">
        <v>2029</v>
      </c>
      <c r="F1460" s="27"/>
    </row>
    <row r="1461" spans="1:6" x14ac:dyDescent="0.3">
      <c r="A1461" s="27" t="s">
        <v>2030</v>
      </c>
      <c r="B1461" s="27" t="s">
        <v>10</v>
      </c>
      <c r="C1461">
        <v>126.6</v>
      </c>
      <c r="D1461">
        <v>127.5</v>
      </c>
      <c r="E1461" s="27" t="s">
        <v>2029</v>
      </c>
      <c r="F1461" s="27"/>
    </row>
    <row r="1462" spans="1:6" x14ac:dyDescent="0.3">
      <c r="A1462" s="27" t="s">
        <v>3373</v>
      </c>
      <c r="B1462" s="27" t="s">
        <v>33</v>
      </c>
      <c r="C1462">
        <v>7.05</v>
      </c>
      <c r="D1462">
        <v>7.1</v>
      </c>
      <c r="E1462" s="27" t="s">
        <v>2029</v>
      </c>
      <c r="F1462" s="27"/>
    </row>
    <row r="1463" spans="1:6" x14ac:dyDescent="0.3">
      <c r="A1463" s="27" t="s">
        <v>2287</v>
      </c>
      <c r="B1463" s="27" t="s">
        <v>11</v>
      </c>
      <c r="C1463">
        <v>373.75</v>
      </c>
      <c r="D1463">
        <v>376.35</v>
      </c>
      <c r="E1463" s="27" t="s">
        <v>2034</v>
      </c>
      <c r="F1463" s="27"/>
    </row>
    <row r="1464" spans="1:6" x14ac:dyDescent="0.3">
      <c r="A1464" s="27" t="s">
        <v>2033</v>
      </c>
      <c r="B1464" s="27" t="s">
        <v>33</v>
      </c>
      <c r="C1464">
        <v>258.14999999999998</v>
      </c>
      <c r="D1464">
        <v>259.95</v>
      </c>
      <c r="E1464" s="27" t="s">
        <v>2034</v>
      </c>
      <c r="F1464" s="27"/>
    </row>
    <row r="1465" spans="1:6" x14ac:dyDescent="0.3">
      <c r="A1465" s="27" t="s">
        <v>2036</v>
      </c>
      <c r="B1465" s="27" t="s">
        <v>11</v>
      </c>
      <c r="C1465">
        <v>21.4</v>
      </c>
      <c r="D1465">
        <v>21.55</v>
      </c>
      <c r="E1465" s="27" t="s">
        <v>2034</v>
      </c>
      <c r="F1465" s="27"/>
    </row>
    <row r="1466" spans="1:6" x14ac:dyDescent="0.3">
      <c r="A1466" s="27" t="s">
        <v>1970</v>
      </c>
      <c r="B1466" s="27" t="s">
        <v>10</v>
      </c>
      <c r="C1466">
        <v>1469.2</v>
      </c>
      <c r="D1466">
        <v>1479.55</v>
      </c>
      <c r="E1466" s="27" t="s">
        <v>2034</v>
      </c>
      <c r="F1466" s="27"/>
    </row>
    <row r="1467" spans="1:6" x14ac:dyDescent="0.3">
      <c r="A1467" s="27" t="s">
        <v>2035</v>
      </c>
      <c r="B1467" s="27" t="s">
        <v>33</v>
      </c>
      <c r="C1467">
        <v>136.05000000000001</v>
      </c>
      <c r="D1467">
        <v>137</v>
      </c>
      <c r="E1467" s="27" t="s">
        <v>2034</v>
      </c>
      <c r="F1467" s="27"/>
    </row>
    <row r="1468" spans="1:6" x14ac:dyDescent="0.3">
      <c r="A1468" s="27" t="s">
        <v>2192</v>
      </c>
      <c r="B1468" s="27" t="s">
        <v>10</v>
      </c>
      <c r="C1468">
        <v>335.85</v>
      </c>
      <c r="D1468">
        <v>338.2</v>
      </c>
      <c r="E1468" s="27" t="s">
        <v>2034</v>
      </c>
      <c r="F1468" s="27"/>
    </row>
    <row r="1469" spans="1:6" x14ac:dyDescent="0.3">
      <c r="A1469" s="27" t="s">
        <v>2039</v>
      </c>
      <c r="B1469" s="27" t="s">
        <v>10</v>
      </c>
      <c r="C1469">
        <v>189.7</v>
      </c>
      <c r="D1469">
        <v>191</v>
      </c>
      <c r="E1469" s="27" t="s">
        <v>2038</v>
      </c>
      <c r="F1469" s="27"/>
    </row>
    <row r="1470" spans="1:6" x14ac:dyDescent="0.3">
      <c r="A1470" s="27" t="s">
        <v>2037</v>
      </c>
      <c r="B1470" s="27" t="s">
        <v>33</v>
      </c>
      <c r="C1470">
        <v>36.25</v>
      </c>
      <c r="D1470">
        <v>36.5</v>
      </c>
      <c r="E1470" s="27" t="s">
        <v>2038</v>
      </c>
      <c r="F1470" s="27"/>
    </row>
    <row r="1471" spans="1:6" x14ac:dyDescent="0.3">
      <c r="A1471" s="27" t="s">
        <v>2032</v>
      </c>
      <c r="B1471" s="27" t="s">
        <v>29</v>
      </c>
      <c r="C1471">
        <v>703.65</v>
      </c>
      <c r="D1471">
        <v>708.45</v>
      </c>
      <c r="E1471" s="27" t="s">
        <v>2042</v>
      </c>
      <c r="F1471" s="27"/>
    </row>
    <row r="1472" spans="1:6" x14ac:dyDescent="0.3">
      <c r="A1472" s="27" t="s">
        <v>2041</v>
      </c>
      <c r="B1472" s="27" t="s">
        <v>33</v>
      </c>
      <c r="C1472">
        <v>1409.75</v>
      </c>
      <c r="D1472">
        <v>1419.3</v>
      </c>
      <c r="E1472" s="27" t="s">
        <v>2042</v>
      </c>
      <c r="F1472" s="27"/>
    </row>
    <row r="1473" spans="1:6" x14ac:dyDescent="0.3">
      <c r="A1473" s="27" t="s">
        <v>1775</v>
      </c>
      <c r="B1473" s="27" t="s">
        <v>10</v>
      </c>
      <c r="C1473">
        <v>450</v>
      </c>
      <c r="D1473">
        <v>453.05</v>
      </c>
      <c r="E1473" s="27" t="s">
        <v>2042</v>
      </c>
      <c r="F1473" s="27"/>
    </row>
    <row r="1474" spans="1:6" x14ac:dyDescent="0.3">
      <c r="A1474" s="27" t="s">
        <v>2223</v>
      </c>
      <c r="B1474" s="27" t="s">
        <v>10</v>
      </c>
      <c r="C1474">
        <v>29.6</v>
      </c>
      <c r="D1474">
        <v>29.8</v>
      </c>
      <c r="E1474" s="27" t="s">
        <v>2042</v>
      </c>
      <c r="F1474" s="27"/>
    </row>
    <row r="1475" spans="1:6" x14ac:dyDescent="0.3">
      <c r="A1475" s="27" t="s">
        <v>2043</v>
      </c>
      <c r="B1475" s="27" t="s">
        <v>328</v>
      </c>
      <c r="C1475">
        <v>14.9</v>
      </c>
      <c r="D1475">
        <v>15</v>
      </c>
      <c r="E1475" s="27" t="s">
        <v>2044</v>
      </c>
      <c r="F1475" s="27"/>
    </row>
    <row r="1476" spans="1:6" x14ac:dyDescent="0.3">
      <c r="A1476" s="27" t="s">
        <v>2166</v>
      </c>
      <c r="B1476" s="27" t="s">
        <v>10</v>
      </c>
      <c r="C1476">
        <v>8.9600000000000009</v>
      </c>
      <c r="D1476">
        <v>9.02</v>
      </c>
      <c r="E1476" s="27" t="s">
        <v>2044</v>
      </c>
      <c r="F1476" s="27"/>
    </row>
    <row r="1477" spans="1:6" x14ac:dyDescent="0.3">
      <c r="A1477" s="27" t="s">
        <v>1986</v>
      </c>
      <c r="B1477" s="27" t="s">
        <v>10</v>
      </c>
      <c r="C1477">
        <v>5610.7</v>
      </c>
      <c r="D1477">
        <v>5647.5</v>
      </c>
      <c r="E1477" s="27" t="s">
        <v>2047</v>
      </c>
      <c r="F1477" s="27"/>
    </row>
    <row r="1478" spans="1:6" x14ac:dyDescent="0.3">
      <c r="A1478" s="27" t="s">
        <v>1809</v>
      </c>
      <c r="B1478" s="27" t="s">
        <v>10</v>
      </c>
      <c r="C1478">
        <v>75.7</v>
      </c>
      <c r="D1478">
        <v>76.2</v>
      </c>
      <c r="E1478" s="27" t="s">
        <v>2047</v>
      </c>
      <c r="F1478" s="27"/>
    </row>
    <row r="1479" spans="1:6" x14ac:dyDescent="0.3">
      <c r="A1479" s="27" t="s">
        <v>2048</v>
      </c>
      <c r="B1479" s="27" t="s">
        <v>11</v>
      </c>
      <c r="C1479">
        <v>393.75</v>
      </c>
      <c r="D1479">
        <v>396.35</v>
      </c>
      <c r="E1479" s="27" t="s">
        <v>2047</v>
      </c>
      <c r="F1479" s="27"/>
    </row>
    <row r="1480" spans="1:6" x14ac:dyDescent="0.3">
      <c r="A1480" s="27" t="s">
        <v>1855</v>
      </c>
      <c r="B1480" s="27" t="s">
        <v>11</v>
      </c>
      <c r="C1480">
        <v>15.1</v>
      </c>
      <c r="D1480">
        <v>15.2</v>
      </c>
      <c r="E1480" s="27" t="s">
        <v>2047</v>
      </c>
      <c r="F1480" s="27"/>
    </row>
    <row r="1481" spans="1:6" x14ac:dyDescent="0.3">
      <c r="A1481" s="27" t="s">
        <v>2049</v>
      </c>
      <c r="B1481" s="27" t="s">
        <v>11</v>
      </c>
      <c r="C1481">
        <v>67.95</v>
      </c>
      <c r="D1481">
        <v>68.400000000000006</v>
      </c>
      <c r="E1481" s="27" t="s">
        <v>2047</v>
      </c>
      <c r="F1481" s="27"/>
    </row>
    <row r="1482" spans="1:6" x14ac:dyDescent="0.3">
      <c r="A1482" s="27" t="s">
        <v>2050</v>
      </c>
      <c r="B1482" s="27" t="s">
        <v>33</v>
      </c>
      <c r="C1482">
        <v>1838</v>
      </c>
      <c r="D1482">
        <v>1850</v>
      </c>
      <c r="E1482" s="27" t="s">
        <v>2051</v>
      </c>
      <c r="F1482" s="27"/>
    </row>
    <row r="1483" spans="1:6" x14ac:dyDescent="0.3">
      <c r="A1483" s="27" t="s">
        <v>1979</v>
      </c>
      <c r="B1483" s="27" t="s">
        <v>10</v>
      </c>
      <c r="C1483">
        <v>2918.25</v>
      </c>
      <c r="D1483">
        <v>2937.35</v>
      </c>
      <c r="E1483" s="27" t="s">
        <v>2051</v>
      </c>
      <c r="F1483" s="27"/>
    </row>
    <row r="1484" spans="1:6" x14ac:dyDescent="0.3">
      <c r="A1484" s="27" t="s">
        <v>1931</v>
      </c>
      <c r="B1484" s="27" t="s">
        <v>10</v>
      </c>
      <c r="C1484">
        <v>292.2</v>
      </c>
      <c r="D1484">
        <v>294.10000000000002</v>
      </c>
      <c r="E1484" s="27" t="s">
        <v>2051</v>
      </c>
      <c r="F1484" s="27"/>
    </row>
    <row r="1485" spans="1:6" x14ac:dyDescent="0.3">
      <c r="A1485" s="27" t="s">
        <v>2054</v>
      </c>
      <c r="B1485" s="27" t="s">
        <v>10</v>
      </c>
      <c r="C1485">
        <v>77.349999999999994</v>
      </c>
      <c r="D1485">
        <v>77.849999999999994</v>
      </c>
      <c r="E1485" s="27" t="s">
        <v>2051</v>
      </c>
      <c r="F1485" s="27"/>
    </row>
    <row r="1486" spans="1:6" x14ac:dyDescent="0.3">
      <c r="A1486" s="27" t="s">
        <v>2103</v>
      </c>
      <c r="B1486" s="27" t="s">
        <v>10</v>
      </c>
      <c r="C1486">
        <v>53.85</v>
      </c>
      <c r="D1486">
        <v>54.2</v>
      </c>
      <c r="E1486" s="27" t="s">
        <v>2051</v>
      </c>
      <c r="F1486" s="27"/>
    </row>
    <row r="1487" spans="1:6" x14ac:dyDescent="0.3">
      <c r="A1487" s="27" t="s">
        <v>2052</v>
      </c>
      <c r="B1487" s="27" t="s">
        <v>33</v>
      </c>
      <c r="C1487">
        <v>77.099999999999994</v>
      </c>
      <c r="D1487">
        <v>77.599999999999994</v>
      </c>
      <c r="E1487" s="27" t="s">
        <v>2051</v>
      </c>
      <c r="F1487" s="27"/>
    </row>
    <row r="1488" spans="1:6" x14ac:dyDescent="0.3">
      <c r="A1488" s="27" t="s">
        <v>2053</v>
      </c>
      <c r="B1488" s="27" t="s">
        <v>33</v>
      </c>
      <c r="C1488">
        <v>22.95</v>
      </c>
      <c r="D1488">
        <v>23.1</v>
      </c>
      <c r="E1488" s="27" t="s">
        <v>2051</v>
      </c>
      <c r="F1488" s="27"/>
    </row>
    <row r="1489" spans="1:6" x14ac:dyDescent="0.3">
      <c r="A1489" s="27" t="s">
        <v>1946</v>
      </c>
      <c r="B1489" s="27" t="s">
        <v>10</v>
      </c>
      <c r="C1489">
        <v>201</v>
      </c>
      <c r="D1489">
        <v>202.3</v>
      </c>
      <c r="E1489" s="27" t="s">
        <v>2051</v>
      </c>
      <c r="F1489" s="27"/>
    </row>
    <row r="1490" spans="1:6" x14ac:dyDescent="0.3">
      <c r="A1490" s="27" t="s">
        <v>2061</v>
      </c>
      <c r="B1490" s="27" t="s">
        <v>10</v>
      </c>
      <c r="C1490">
        <v>361.75</v>
      </c>
      <c r="D1490">
        <v>364.05</v>
      </c>
      <c r="E1490" s="27" t="s">
        <v>2056</v>
      </c>
      <c r="F1490" s="27"/>
    </row>
    <row r="1491" spans="1:6" x14ac:dyDescent="0.3">
      <c r="A1491" s="27" t="s">
        <v>2062</v>
      </c>
      <c r="B1491" s="27" t="s">
        <v>33</v>
      </c>
      <c r="C1491">
        <v>55.1</v>
      </c>
      <c r="D1491">
        <v>55.45</v>
      </c>
      <c r="E1491" s="27" t="s">
        <v>2056</v>
      </c>
      <c r="F1491" s="27"/>
    </row>
    <row r="1492" spans="1:6" x14ac:dyDescent="0.3">
      <c r="A1492" s="27" t="s">
        <v>2059</v>
      </c>
      <c r="B1492" s="27" t="s">
        <v>10</v>
      </c>
      <c r="C1492">
        <v>172.65</v>
      </c>
      <c r="D1492">
        <v>173.75</v>
      </c>
      <c r="E1492" s="27" t="s">
        <v>2056</v>
      </c>
      <c r="F1492" s="27"/>
    </row>
    <row r="1493" spans="1:6" x14ac:dyDescent="0.3">
      <c r="A1493" s="27" t="s">
        <v>2065</v>
      </c>
      <c r="B1493" s="27" t="s">
        <v>11</v>
      </c>
      <c r="C1493">
        <v>64</v>
      </c>
      <c r="D1493">
        <v>64.400000000000006</v>
      </c>
      <c r="E1493" s="27" t="s">
        <v>2064</v>
      </c>
      <c r="F1493" s="27"/>
    </row>
    <row r="1494" spans="1:6" x14ac:dyDescent="0.3">
      <c r="A1494" s="27" t="s">
        <v>2069</v>
      </c>
      <c r="B1494" s="27" t="s">
        <v>11</v>
      </c>
      <c r="C1494">
        <v>303.95</v>
      </c>
      <c r="D1494">
        <v>305.85000000000002</v>
      </c>
      <c r="E1494" s="27" t="s">
        <v>2064</v>
      </c>
      <c r="F1494" s="27"/>
    </row>
    <row r="1495" spans="1:6" x14ac:dyDescent="0.3">
      <c r="A1495" s="27" t="s">
        <v>2067</v>
      </c>
      <c r="B1495" s="27" t="s">
        <v>33</v>
      </c>
      <c r="C1495">
        <v>23.7</v>
      </c>
      <c r="D1495">
        <v>23.85</v>
      </c>
      <c r="E1495" s="27" t="s">
        <v>2064</v>
      </c>
      <c r="F1495" s="27"/>
    </row>
    <row r="1496" spans="1:6" x14ac:dyDescent="0.3">
      <c r="A1496" s="27" t="s">
        <v>2071</v>
      </c>
      <c r="B1496" s="27" t="s">
        <v>11</v>
      </c>
      <c r="C1496">
        <v>9.68</v>
      </c>
      <c r="D1496">
        <v>9.74</v>
      </c>
      <c r="E1496" s="27" t="s">
        <v>2072</v>
      </c>
      <c r="F1496" s="27"/>
    </row>
    <row r="1497" spans="1:6" x14ac:dyDescent="0.3">
      <c r="A1497" s="27" t="s">
        <v>1881</v>
      </c>
      <c r="B1497" s="27" t="s">
        <v>10</v>
      </c>
      <c r="C1497">
        <v>217.65</v>
      </c>
      <c r="D1497">
        <v>219</v>
      </c>
      <c r="E1497" s="27" t="s">
        <v>2072</v>
      </c>
      <c r="F1497" s="27"/>
    </row>
    <row r="1498" spans="1:6" x14ac:dyDescent="0.3">
      <c r="A1498" s="27" t="s">
        <v>2073</v>
      </c>
      <c r="B1498" s="27" t="s">
        <v>33</v>
      </c>
      <c r="C1498">
        <v>404.5</v>
      </c>
      <c r="D1498">
        <v>407</v>
      </c>
      <c r="E1498" s="27" t="s">
        <v>2072</v>
      </c>
      <c r="F1498" s="27"/>
    </row>
    <row r="1499" spans="1:6" x14ac:dyDescent="0.3">
      <c r="A1499" s="27" t="s">
        <v>2074</v>
      </c>
      <c r="B1499" s="27" t="s">
        <v>29</v>
      </c>
      <c r="C1499">
        <v>97.05</v>
      </c>
      <c r="D1499">
        <v>97.65</v>
      </c>
      <c r="E1499" s="27" t="s">
        <v>2072</v>
      </c>
      <c r="F1499" s="27"/>
    </row>
    <row r="1500" spans="1:6" x14ac:dyDescent="0.3">
      <c r="A1500" s="27" t="s">
        <v>2228</v>
      </c>
      <c r="B1500" s="27" t="s">
        <v>10</v>
      </c>
      <c r="C1500">
        <v>284.35000000000002</v>
      </c>
      <c r="D1500">
        <v>286.10000000000002</v>
      </c>
      <c r="E1500" s="27" t="s">
        <v>2072</v>
      </c>
      <c r="F1500" s="27"/>
    </row>
    <row r="1501" spans="1:6" x14ac:dyDescent="0.3">
      <c r="A1501" s="27" t="s">
        <v>2081</v>
      </c>
      <c r="B1501" s="27" t="s">
        <v>33</v>
      </c>
      <c r="C1501">
        <v>196.25</v>
      </c>
      <c r="D1501">
        <v>197.45</v>
      </c>
      <c r="E1501" s="27" t="s">
        <v>2076</v>
      </c>
      <c r="F1501" s="27"/>
    </row>
    <row r="1502" spans="1:6" x14ac:dyDescent="0.3">
      <c r="A1502" s="27" t="s">
        <v>2168</v>
      </c>
      <c r="B1502" s="27" t="s">
        <v>10</v>
      </c>
      <c r="C1502">
        <v>188</v>
      </c>
      <c r="D1502">
        <v>189.15</v>
      </c>
      <c r="E1502" s="27" t="s">
        <v>2076</v>
      </c>
      <c r="F1502" s="27"/>
    </row>
    <row r="1503" spans="1:6" x14ac:dyDescent="0.3">
      <c r="A1503" s="27" t="s">
        <v>2082</v>
      </c>
      <c r="B1503" s="27" t="s">
        <v>33</v>
      </c>
      <c r="C1503">
        <v>943.2</v>
      </c>
      <c r="D1503">
        <v>948.95</v>
      </c>
      <c r="E1503" s="27" t="s">
        <v>2076</v>
      </c>
      <c r="F1503" s="27"/>
    </row>
    <row r="1504" spans="1:6" x14ac:dyDescent="0.3">
      <c r="A1504" s="27" t="s">
        <v>2079</v>
      </c>
      <c r="B1504" s="27" t="s">
        <v>11</v>
      </c>
      <c r="C1504">
        <v>385.3</v>
      </c>
      <c r="D1504">
        <v>387.65</v>
      </c>
      <c r="E1504" s="27" t="s">
        <v>2076</v>
      </c>
      <c r="F1504" s="27"/>
    </row>
    <row r="1505" spans="1:6" x14ac:dyDescent="0.3">
      <c r="A1505" s="27" t="s">
        <v>2080</v>
      </c>
      <c r="B1505" s="27" t="s">
        <v>33</v>
      </c>
      <c r="C1505">
        <v>33</v>
      </c>
      <c r="D1505">
        <v>33.200000000000003</v>
      </c>
      <c r="E1505" s="27" t="s">
        <v>2076</v>
      </c>
      <c r="F1505" s="27"/>
    </row>
    <row r="1506" spans="1:6" x14ac:dyDescent="0.3">
      <c r="A1506" s="27" t="s">
        <v>2078</v>
      </c>
      <c r="B1506" s="27" t="s">
        <v>33</v>
      </c>
      <c r="C1506">
        <v>661</v>
      </c>
      <c r="D1506">
        <v>665</v>
      </c>
      <c r="E1506" s="27" t="s">
        <v>2076</v>
      </c>
      <c r="F1506" s="27"/>
    </row>
    <row r="1507" spans="1:6" x14ac:dyDescent="0.3">
      <c r="A1507" s="27" t="s">
        <v>2085</v>
      </c>
      <c r="B1507" s="27" t="s">
        <v>29</v>
      </c>
      <c r="C1507">
        <v>42</v>
      </c>
      <c r="D1507">
        <v>42.25</v>
      </c>
      <c r="E1507" s="27" t="s">
        <v>2084</v>
      </c>
      <c r="F1507" s="27"/>
    </row>
    <row r="1508" spans="1:6" x14ac:dyDescent="0.3">
      <c r="A1508" s="27" t="s">
        <v>2083</v>
      </c>
      <c r="B1508" s="27" t="s">
        <v>29</v>
      </c>
      <c r="C1508">
        <v>16.649999999999999</v>
      </c>
      <c r="D1508">
        <v>16.75</v>
      </c>
      <c r="E1508" s="27" t="s">
        <v>2084</v>
      </c>
      <c r="F1508" s="27"/>
    </row>
    <row r="1509" spans="1:6" x14ac:dyDescent="0.3">
      <c r="A1509" s="27" t="s">
        <v>2312</v>
      </c>
      <c r="B1509" s="27" t="s">
        <v>29</v>
      </c>
      <c r="C1509">
        <v>4.96</v>
      </c>
      <c r="D1509">
        <v>4.99</v>
      </c>
      <c r="E1509" s="27" t="s">
        <v>2084</v>
      </c>
      <c r="F1509" s="27"/>
    </row>
    <row r="1510" spans="1:6" x14ac:dyDescent="0.3">
      <c r="A1510" s="27" t="s">
        <v>2090</v>
      </c>
      <c r="B1510" s="27" t="s">
        <v>11</v>
      </c>
      <c r="C1510">
        <v>83.2</v>
      </c>
      <c r="D1510">
        <v>83.7</v>
      </c>
      <c r="E1510" s="27" t="s">
        <v>2084</v>
      </c>
      <c r="F1510" s="27"/>
    </row>
    <row r="1511" spans="1:6" x14ac:dyDescent="0.3">
      <c r="A1511" s="27" t="s">
        <v>2087</v>
      </c>
      <c r="B1511" s="27" t="s">
        <v>11</v>
      </c>
      <c r="C1511">
        <v>42</v>
      </c>
      <c r="D1511">
        <v>42.25</v>
      </c>
      <c r="E1511" s="27" t="s">
        <v>2084</v>
      </c>
      <c r="F1511" s="27"/>
    </row>
    <row r="1512" spans="1:6" x14ac:dyDescent="0.3">
      <c r="A1512" s="27" t="s">
        <v>2089</v>
      </c>
      <c r="B1512" s="27" t="s">
        <v>10</v>
      </c>
      <c r="C1512">
        <v>6019.15</v>
      </c>
      <c r="D1512">
        <v>6055</v>
      </c>
      <c r="E1512" s="27" t="s">
        <v>2084</v>
      </c>
      <c r="F1512" s="27"/>
    </row>
    <row r="1513" spans="1:6" x14ac:dyDescent="0.3">
      <c r="A1513" s="27" t="s">
        <v>2088</v>
      </c>
      <c r="B1513" s="27" t="s">
        <v>10</v>
      </c>
      <c r="C1513">
        <v>1221.1500000000001</v>
      </c>
      <c r="D1513">
        <v>1228.5</v>
      </c>
      <c r="E1513" s="27" t="s">
        <v>2084</v>
      </c>
      <c r="F1513" s="27"/>
    </row>
    <row r="1514" spans="1:6" x14ac:dyDescent="0.3">
      <c r="A1514" s="27" t="s">
        <v>2057</v>
      </c>
      <c r="B1514" s="27" t="s">
        <v>10</v>
      </c>
      <c r="C1514">
        <v>1192.95</v>
      </c>
      <c r="D1514">
        <v>1200</v>
      </c>
      <c r="E1514" s="27" t="s">
        <v>2092</v>
      </c>
      <c r="F1514" s="27"/>
    </row>
    <row r="1515" spans="1:6" x14ac:dyDescent="0.3">
      <c r="A1515" s="27" t="s">
        <v>1555</v>
      </c>
      <c r="B1515" s="27" t="s">
        <v>33</v>
      </c>
      <c r="C1515">
        <v>25.3</v>
      </c>
      <c r="D1515">
        <v>25.45</v>
      </c>
      <c r="E1515" s="27" t="s">
        <v>2092</v>
      </c>
      <c r="F1515" s="27"/>
    </row>
    <row r="1516" spans="1:6" x14ac:dyDescent="0.3">
      <c r="A1516" s="27" t="s">
        <v>2107</v>
      </c>
      <c r="B1516" s="27" t="s">
        <v>10</v>
      </c>
      <c r="C1516">
        <v>524.54999999999995</v>
      </c>
      <c r="D1516">
        <v>527.6</v>
      </c>
      <c r="E1516" s="27" t="s">
        <v>2094</v>
      </c>
      <c r="F1516" s="27"/>
    </row>
    <row r="1517" spans="1:6" x14ac:dyDescent="0.3">
      <c r="A1517" s="27" t="s">
        <v>2091</v>
      </c>
      <c r="B1517" s="27" t="s">
        <v>10</v>
      </c>
      <c r="C1517">
        <v>536.95000000000005</v>
      </c>
      <c r="D1517">
        <v>540.04999999999995</v>
      </c>
      <c r="E1517" s="27" t="s">
        <v>2094</v>
      </c>
      <c r="F1517" s="27"/>
    </row>
    <row r="1518" spans="1:6" x14ac:dyDescent="0.3">
      <c r="A1518" s="27" t="s">
        <v>2093</v>
      </c>
      <c r="B1518" s="27" t="s">
        <v>11</v>
      </c>
      <c r="C1518">
        <v>42.95</v>
      </c>
      <c r="D1518">
        <v>43.2</v>
      </c>
      <c r="E1518" s="27" t="s">
        <v>2094</v>
      </c>
      <c r="F1518" s="27"/>
    </row>
    <row r="1519" spans="1:6" x14ac:dyDescent="0.3">
      <c r="A1519" s="27" t="s">
        <v>2132</v>
      </c>
      <c r="B1519" s="27" t="s">
        <v>10</v>
      </c>
      <c r="C1519">
        <v>1295.4000000000001</v>
      </c>
      <c r="D1519">
        <v>1302.95</v>
      </c>
      <c r="E1519" s="27" t="s">
        <v>2094</v>
      </c>
      <c r="F1519" s="27"/>
    </row>
    <row r="1520" spans="1:6" x14ac:dyDescent="0.3">
      <c r="A1520" s="27" t="s">
        <v>1691</v>
      </c>
      <c r="B1520" s="27" t="s">
        <v>10</v>
      </c>
      <c r="C1520">
        <v>556.70000000000005</v>
      </c>
      <c r="D1520">
        <v>559.95000000000005</v>
      </c>
      <c r="E1520" s="27" t="s">
        <v>2094</v>
      </c>
      <c r="F1520" s="27"/>
    </row>
    <row r="1521" spans="1:6" x14ac:dyDescent="0.3">
      <c r="A1521" s="27" t="s">
        <v>2066</v>
      </c>
      <c r="B1521" s="27" t="s">
        <v>10</v>
      </c>
      <c r="C1521">
        <v>6071.65</v>
      </c>
      <c r="D1521">
        <v>6106.55</v>
      </c>
      <c r="E1521" s="27" t="s">
        <v>2097</v>
      </c>
      <c r="F1521" s="27"/>
    </row>
    <row r="1522" spans="1:6" x14ac:dyDescent="0.3">
      <c r="A1522" s="27" t="s">
        <v>2096</v>
      </c>
      <c r="B1522" s="27" t="s">
        <v>11</v>
      </c>
      <c r="C1522">
        <v>53.05</v>
      </c>
      <c r="D1522">
        <v>53.35</v>
      </c>
      <c r="E1522" s="27" t="s">
        <v>2097</v>
      </c>
      <c r="F1522" s="27"/>
    </row>
    <row r="1523" spans="1:6" x14ac:dyDescent="0.3">
      <c r="A1523" s="27" t="s">
        <v>2019</v>
      </c>
      <c r="B1523" s="27" t="s">
        <v>10</v>
      </c>
      <c r="C1523">
        <v>12.26</v>
      </c>
      <c r="D1523">
        <v>12.33</v>
      </c>
      <c r="E1523" s="27" t="s">
        <v>2097</v>
      </c>
      <c r="F1523" s="27"/>
    </row>
    <row r="1524" spans="1:6" x14ac:dyDescent="0.3">
      <c r="A1524" s="27" t="s">
        <v>2098</v>
      </c>
      <c r="B1524" s="27" t="s">
        <v>29</v>
      </c>
      <c r="C1524">
        <v>3.5</v>
      </c>
      <c r="D1524">
        <v>3.52</v>
      </c>
      <c r="E1524" s="27" t="s">
        <v>2097</v>
      </c>
      <c r="F1524" s="27"/>
    </row>
    <row r="1525" spans="1:6" x14ac:dyDescent="0.3">
      <c r="A1525" s="27" t="s">
        <v>2104</v>
      </c>
      <c r="B1525" s="27" t="s">
        <v>33</v>
      </c>
      <c r="C1525">
        <v>89.8</v>
      </c>
      <c r="D1525">
        <v>90.3</v>
      </c>
      <c r="E1525" s="27" t="s">
        <v>2101</v>
      </c>
      <c r="F1525" s="27"/>
    </row>
    <row r="1526" spans="1:6" x14ac:dyDescent="0.3">
      <c r="A1526" s="27" t="s">
        <v>2106</v>
      </c>
      <c r="B1526" s="27" t="s">
        <v>33</v>
      </c>
      <c r="C1526">
        <v>17.75</v>
      </c>
      <c r="D1526">
        <v>17.850000000000001</v>
      </c>
      <c r="E1526" s="27" t="s">
        <v>2101</v>
      </c>
      <c r="F1526" s="27"/>
    </row>
    <row r="1527" spans="1:6" x14ac:dyDescent="0.3">
      <c r="A1527" s="27" t="s">
        <v>1012</v>
      </c>
      <c r="B1527" s="27" t="s">
        <v>29</v>
      </c>
      <c r="C1527">
        <v>71.650000000000006</v>
      </c>
      <c r="D1527">
        <v>72.05</v>
      </c>
      <c r="E1527" s="27" t="s">
        <v>2101</v>
      </c>
      <c r="F1527" s="27"/>
    </row>
    <row r="1528" spans="1:6" x14ac:dyDescent="0.3">
      <c r="A1528" s="27" t="s">
        <v>2112</v>
      </c>
      <c r="B1528" s="27" t="s">
        <v>29</v>
      </c>
      <c r="C1528">
        <v>27.15</v>
      </c>
      <c r="D1528">
        <v>27.3</v>
      </c>
      <c r="E1528" s="27" t="s">
        <v>2108</v>
      </c>
      <c r="F1528" s="27"/>
    </row>
    <row r="1529" spans="1:6" x14ac:dyDescent="0.3">
      <c r="A1529" s="27" t="s">
        <v>2109</v>
      </c>
      <c r="B1529" s="27" t="s">
        <v>10</v>
      </c>
      <c r="C1529">
        <v>477.05</v>
      </c>
      <c r="D1529">
        <v>479.65</v>
      </c>
      <c r="E1529" s="27" t="s">
        <v>2108</v>
      </c>
      <c r="F1529" s="27"/>
    </row>
    <row r="1530" spans="1:6" x14ac:dyDescent="0.3">
      <c r="A1530" s="27" t="s">
        <v>2110</v>
      </c>
      <c r="B1530" s="27" t="s">
        <v>11</v>
      </c>
      <c r="C1530">
        <v>317.10000000000002</v>
      </c>
      <c r="D1530">
        <v>318.85000000000002</v>
      </c>
      <c r="E1530" s="27" t="s">
        <v>2108</v>
      </c>
      <c r="F1530" s="27"/>
    </row>
    <row r="1531" spans="1:6" x14ac:dyDescent="0.3">
      <c r="A1531" s="27" t="s">
        <v>2115</v>
      </c>
      <c r="B1531" s="27" t="s">
        <v>33</v>
      </c>
      <c r="C1531">
        <v>119.35</v>
      </c>
      <c r="D1531">
        <v>120</v>
      </c>
      <c r="E1531" s="27" t="s">
        <v>2114</v>
      </c>
      <c r="F1531" s="27"/>
    </row>
    <row r="1532" spans="1:6" x14ac:dyDescent="0.3">
      <c r="A1532" s="27" t="s">
        <v>3374</v>
      </c>
      <c r="B1532" s="27" t="s">
        <v>328</v>
      </c>
      <c r="C1532">
        <v>36.950000000000003</v>
      </c>
      <c r="D1532">
        <v>37.15</v>
      </c>
      <c r="E1532" s="27" t="s">
        <v>2114</v>
      </c>
      <c r="F1532" s="27"/>
    </row>
    <row r="1533" spans="1:6" x14ac:dyDescent="0.3">
      <c r="A1533" s="27" t="s">
        <v>2135</v>
      </c>
      <c r="B1533" s="27" t="s">
        <v>10</v>
      </c>
      <c r="C1533">
        <v>2232.6</v>
      </c>
      <c r="D1533">
        <v>2244.6999999999998</v>
      </c>
      <c r="E1533" s="27" t="s">
        <v>2114</v>
      </c>
      <c r="F1533" s="27"/>
    </row>
    <row r="1534" spans="1:6" x14ac:dyDescent="0.3">
      <c r="A1534" s="27" t="s">
        <v>2118</v>
      </c>
      <c r="B1534" s="27" t="s">
        <v>29</v>
      </c>
      <c r="C1534">
        <v>1.86</v>
      </c>
      <c r="D1534">
        <v>1.87</v>
      </c>
      <c r="E1534" s="27" t="s">
        <v>2114</v>
      </c>
      <c r="F1534" s="27"/>
    </row>
    <row r="1535" spans="1:6" x14ac:dyDescent="0.3">
      <c r="A1535" s="27" t="s">
        <v>2117</v>
      </c>
      <c r="B1535" s="27" t="s">
        <v>29</v>
      </c>
      <c r="C1535">
        <v>3.67</v>
      </c>
      <c r="D1535">
        <v>3.69</v>
      </c>
      <c r="E1535" s="27" t="s">
        <v>2114</v>
      </c>
      <c r="F1535" s="27"/>
    </row>
    <row r="1536" spans="1:6" x14ac:dyDescent="0.3">
      <c r="A1536" s="27" t="s">
        <v>2120</v>
      </c>
      <c r="B1536" s="27" t="s">
        <v>33</v>
      </c>
      <c r="C1536">
        <v>548.35</v>
      </c>
      <c r="D1536">
        <v>551.29999999999995</v>
      </c>
      <c r="E1536" s="27" t="s">
        <v>2114</v>
      </c>
      <c r="F1536" s="27"/>
    </row>
    <row r="1537" spans="1:6" x14ac:dyDescent="0.3">
      <c r="A1537" s="27" t="s">
        <v>2113</v>
      </c>
      <c r="B1537" s="27" t="s">
        <v>10</v>
      </c>
      <c r="C1537">
        <v>486.3</v>
      </c>
      <c r="D1537">
        <v>488.95</v>
      </c>
      <c r="E1537" s="27" t="s">
        <v>2114</v>
      </c>
      <c r="F1537" s="27"/>
    </row>
    <row r="1538" spans="1:6" x14ac:dyDescent="0.3">
      <c r="A1538" s="27" t="s">
        <v>2125</v>
      </c>
      <c r="B1538" s="27" t="s">
        <v>11</v>
      </c>
      <c r="C1538">
        <v>65.55</v>
      </c>
      <c r="D1538">
        <v>65.900000000000006</v>
      </c>
      <c r="E1538" s="27" t="s">
        <v>2122</v>
      </c>
      <c r="F1538" s="27"/>
    </row>
    <row r="1539" spans="1:6" x14ac:dyDescent="0.3">
      <c r="A1539" s="27" t="s">
        <v>2004</v>
      </c>
      <c r="B1539" s="27" t="s">
        <v>11</v>
      </c>
      <c r="C1539">
        <v>485.6</v>
      </c>
      <c r="D1539">
        <v>488.15</v>
      </c>
      <c r="E1539" s="27" t="s">
        <v>2122</v>
      </c>
      <c r="F1539" s="27"/>
    </row>
    <row r="1540" spans="1:6" x14ac:dyDescent="0.3">
      <c r="A1540" s="27" t="s">
        <v>2124</v>
      </c>
      <c r="B1540" s="27" t="s">
        <v>11</v>
      </c>
      <c r="C1540">
        <v>178.05</v>
      </c>
      <c r="D1540">
        <v>179</v>
      </c>
      <c r="E1540" s="27" t="s">
        <v>2122</v>
      </c>
      <c r="F1540" s="27"/>
    </row>
    <row r="1541" spans="1:6" x14ac:dyDescent="0.3">
      <c r="A1541" s="27" t="s">
        <v>2121</v>
      </c>
      <c r="B1541" s="27" t="s">
        <v>25</v>
      </c>
      <c r="C1541">
        <v>47.25</v>
      </c>
      <c r="D1541">
        <v>47.5</v>
      </c>
      <c r="E1541" s="27" t="s">
        <v>2122</v>
      </c>
      <c r="F1541" s="27"/>
    </row>
    <row r="1542" spans="1:6" x14ac:dyDescent="0.3">
      <c r="A1542" s="27" t="s">
        <v>2123</v>
      </c>
      <c r="B1542" s="27" t="s">
        <v>33</v>
      </c>
      <c r="C1542">
        <v>323.35000000000002</v>
      </c>
      <c r="D1542">
        <v>325.05</v>
      </c>
      <c r="E1542" s="27" t="s">
        <v>2122</v>
      </c>
      <c r="F1542" s="27"/>
    </row>
    <row r="1543" spans="1:6" x14ac:dyDescent="0.3">
      <c r="A1543" s="27" t="s">
        <v>1990</v>
      </c>
      <c r="B1543" s="27" t="s">
        <v>10</v>
      </c>
      <c r="C1543">
        <v>123</v>
      </c>
      <c r="D1543">
        <v>123.65</v>
      </c>
      <c r="E1543" s="27" t="s">
        <v>2122</v>
      </c>
      <c r="F1543" s="27"/>
    </row>
    <row r="1544" spans="1:6" x14ac:dyDescent="0.3">
      <c r="A1544" s="27" t="s">
        <v>2055</v>
      </c>
      <c r="B1544" s="27" t="s">
        <v>10</v>
      </c>
      <c r="C1544">
        <v>802.75</v>
      </c>
      <c r="D1544">
        <v>806.9</v>
      </c>
      <c r="E1544" s="27" t="s">
        <v>2129</v>
      </c>
      <c r="F1544" s="27"/>
    </row>
    <row r="1545" spans="1:6" x14ac:dyDescent="0.3">
      <c r="A1545" s="27" t="s">
        <v>2133</v>
      </c>
      <c r="B1545" s="27" t="s">
        <v>11</v>
      </c>
      <c r="C1545">
        <v>219.85</v>
      </c>
      <c r="D1545">
        <v>221</v>
      </c>
      <c r="E1545" s="27" t="s">
        <v>2129</v>
      </c>
      <c r="F1545" s="27"/>
    </row>
    <row r="1546" spans="1:6" x14ac:dyDescent="0.3">
      <c r="A1546" s="27" t="s">
        <v>2130</v>
      </c>
      <c r="B1546" s="27" t="s">
        <v>11</v>
      </c>
      <c r="C1546">
        <v>86.35</v>
      </c>
      <c r="D1546">
        <v>86.8</v>
      </c>
      <c r="E1546" s="27" t="s">
        <v>2129</v>
      </c>
      <c r="F1546" s="27"/>
    </row>
    <row r="1547" spans="1:6" x14ac:dyDescent="0.3">
      <c r="A1547" s="27" t="s">
        <v>2128</v>
      </c>
      <c r="B1547" s="27" t="s">
        <v>29</v>
      </c>
      <c r="C1547">
        <v>1.91</v>
      </c>
      <c r="D1547">
        <v>1.92</v>
      </c>
      <c r="E1547" s="27" t="s">
        <v>2129</v>
      </c>
      <c r="F1547" s="27"/>
    </row>
    <row r="1548" spans="1:6" x14ac:dyDescent="0.3">
      <c r="A1548" s="27" t="s">
        <v>2298</v>
      </c>
      <c r="B1548" s="27" t="s">
        <v>10</v>
      </c>
      <c r="C1548">
        <v>1666.3</v>
      </c>
      <c r="D1548">
        <v>1674.95</v>
      </c>
      <c r="E1548" s="27" t="s">
        <v>2129</v>
      </c>
      <c r="F1548" s="27"/>
    </row>
    <row r="1549" spans="1:6" x14ac:dyDescent="0.3">
      <c r="A1549" s="27" t="s">
        <v>2086</v>
      </c>
      <c r="B1549" s="27" t="s">
        <v>10</v>
      </c>
      <c r="C1549">
        <v>644.75</v>
      </c>
      <c r="D1549">
        <v>648.1</v>
      </c>
      <c r="E1549" s="27" t="s">
        <v>2129</v>
      </c>
      <c r="F1549" s="27"/>
    </row>
    <row r="1550" spans="1:6" x14ac:dyDescent="0.3">
      <c r="A1550" s="27" t="s">
        <v>2134</v>
      </c>
      <c r="B1550" s="27" t="s">
        <v>11</v>
      </c>
      <c r="C1550">
        <v>464.75</v>
      </c>
      <c r="D1550">
        <v>467.15</v>
      </c>
      <c r="E1550" s="27" t="s">
        <v>2129</v>
      </c>
      <c r="F1550" s="27"/>
    </row>
    <row r="1551" spans="1:6" x14ac:dyDescent="0.3">
      <c r="A1551" s="27" t="s">
        <v>2028</v>
      </c>
      <c r="B1551" s="27" t="s">
        <v>10</v>
      </c>
      <c r="C1551">
        <v>1587.05</v>
      </c>
      <c r="D1551">
        <v>1595.25</v>
      </c>
      <c r="E1551" s="27" t="s">
        <v>2129</v>
      </c>
      <c r="F1551" s="27"/>
    </row>
    <row r="1552" spans="1:6" x14ac:dyDescent="0.3">
      <c r="A1552" s="27" t="s">
        <v>2149</v>
      </c>
      <c r="B1552" s="27" t="s">
        <v>10</v>
      </c>
      <c r="C1552">
        <v>700.1</v>
      </c>
      <c r="D1552">
        <v>703.7</v>
      </c>
      <c r="E1552" s="27" t="s">
        <v>2136</v>
      </c>
      <c r="F1552" s="27"/>
    </row>
    <row r="1553" spans="1:6" x14ac:dyDescent="0.3">
      <c r="A1553" s="27" t="s">
        <v>2138</v>
      </c>
      <c r="B1553" s="27" t="s">
        <v>11</v>
      </c>
      <c r="C1553">
        <v>1.98</v>
      </c>
      <c r="D1553">
        <v>1.99</v>
      </c>
      <c r="E1553" s="27" t="s">
        <v>2136</v>
      </c>
      <c r="F1553" s="27"/>
    </row>
    <row r="1554" spans="1:6" x14ac:dyDescent="0.3">
      <c r="A1554" s="27" t="s">
        <v>2137</v>
      </c>
      <c r="B1554" s="27" t="s">
        <v>22</v>
      </c>
      <c r="C1554">
        <v>29.15</v>
      </c>
      <c r="D1554">
        <v>29.3</v>
      </c>
      <c r="E1554" s="27" t="s">
        <v>2136</v>
      </c>
      <c r="F1554" s="27"/>
    </row>
    <row r="1555" spans="1:6" x14ac:dyDescent="0.3">
      <c r="A1555" s="27" t="s">
        <v>2141</v>
      </c>
      <c r="B1555" s="27" t="s">
        <v>11</v>
      </c>
      <c r="C1555">
        <v>29.85</v>
      </c>
      <c r="D1555">
        <v>30</v>
      </c>
      <c r="E1555" s="27" t="s">
        <v>2140</v>
      </c>
      <c r="F1555" s="27"/>
    </row>
    <row r="1556" spans="1:6" x14ac:dyDescent="0.3">
      <c r="A1556" s="27" t="s">
        <v>2143</v>
      </c>
      <c r="B1556" s="27" t="s">
        <v>33</v>
      </c>
      <c r="C1556">
        <v>13.93</v>
      </c>
      <c r="D1556">
        <v>14</v>
      </c>
      <c r="E1556" s="27" t="s">
        <v>2140</v>
      </c>
      <c r="F1556" s="27"/>
    </row>
    <row r="1557" spans="1:6" x14ac:dyDescent="0.3">
      <c r="A1557" s="27" t="s">
        <v>2139</v>
      </c>
      <c r="B1557" s="27" t="s">
        <v>29</v>
      </c>
      <c r="C1557">
        <v>19.850000000000001</v>
      </c>
      <c r="D1557">
        <v>19.95</v>
      </c>
      <c r="E1557" s="27" t="s">
        <v>2140</v>
      </c>
      <c r="F1557" s="27"/>
    </row>
    <row r="1558" spans="1:6" x14ac:dyDescent="0.3">
      <c r="A1558" s="27" t="s">
        <v>2142</v>
      </c>
      <c r="B1558" s="27" t="s">
        <v>22</v>
      </c>
      <c r="C1558">
        <v>20</v>
      </c>
      <c r="D1558">
        <v>20.100000000000001</v>
      </c>
      <c r="E1558" s="27" t="s">
        <v>2140</v>
      </c>
      <c r="F1558" s="27"/>
    </row>
    <row r="1559" spans="1:6" x14ac:dyDescent="0.3">
      <c r="A1559" s="27" t="s">
        <v>2254</v>
      </c>
      <c r="B1559" s="27" t="s">
        <v>10</v>
      </c>
      <c r="C1559">
        <v>448.75</v>
      </c>
      <c r="D1559">
        <v>450.95</v>
      </c>
      <c r="E1559" s="27" t="s">
        <v>2145</v>
      </c>
      <c r="F1559" s="27"/>
    </row>
    <row r="1560" spans="1:6" x14ac:dyDescent="0.3">
      <c r="A1560" s="27" t="s">
        <v>2146</v>
      </c>
      <c r="B1560" s="27" t="s">
        <v>33</v>
      </c>
      <c r="C1560">
        <v>30.35</v>
      </c>
      <c r="D1560">
        <v>30.5</v>
      </c>
      <c r="E1560" s="27" t="s">
        <v>2145</v>
      </c>
      <c r="F1560" s="27"/>
    </row>
    <row r="1561" spans="1:6" x14ac:dyDescent="0.3">
      <c r="A1561" s="27" t="s">
        <v>2144</v>
      </c>
      <c r="B1561" s="27" t="s">
        <v>11</v>
      </c>
      <c r="C1561">
        <v>380.15</v>
      </c>
      <c r="D1561">
        <v>382</v>
      </c>
      <c r="E1561" s="27" t="s">
        <v>2145</v>
      </c>
      <c r="F1561" s="27"/>
    </row>
    <row r="1562" spans="1:6" x14ac:dyDescent="0.3">
      <c r="A1562" s="27" t="s">
        <v>2151</v>
      </c>
      <c r="B1562" s="27" t="s">
        <v>328</v>
      </c>
      <c r="C1562">
        <v>10.43</v>
      </c>
      <c r="D1562">
        <v>10.48</v>
      </c>
      <c r="E1562" s="27" t="s">
        <v>2148</v>
      </c>
      <c r="F1562" s="27"/>
    </row>
    <row r="1563" spans="1:6" x14ac:dyDescent="0.3">
      <c r="A1563" s="27" t="s">
        <v>2154</v>
      </c>
      <c r="B1563" s="27" t="s">
        <v>33</v>
      </c>
      <c r="C1563">
        <v>20.9</v>
      </c>
      <c r="D1563">
        <v>21</v>
      </c>
      <c r="E1563" s="27" t="s">
        <v>2148</v>
      </c>
      <c r="F1563" s="27"/>
    </row>
    <row r="1564" spans="1:6" x14ac:dyDescent="0.3">
      <c r="A1564" s="27" t="s">
        <v>2119</v>
      </c>
      <c r="B1564" s="27" t="s">
        <v>10</v>
      </c>
      <c r="C1564">
        <v>487.55</v>
      </c>
      <c r="D1564">
        <v>489.9</v>
      </c>
      <c r="E1564" s="27" t="s">
        <v>2148</v>
      </c>
      <c r="F1564" s="27"/>
    </row>
    <row r="1565" spans="1:6" x14ac:dyDescent="0.3">
      <c r="A1565" s="27" t="s">
        <v>1874</v>
      </c>
      <c r="B1565" s="27" t="s">
        <v>29</v>
      </c>
      <c r="C1565">
        <v>30.95</v>
      </c>
      <c r="D1565">
        <v>31.1</v>
      </c>
      <c r="E1565" s="27" t="s">
        <v>2148</v>
      </c>
      <c r="F1565" s="27"/>
    </row>
    <row r="1566" spans="1:6" x14ac:dyDescent="0.3">
      <c r="A1566" s="27" t="s">
        <v>2160</v>
      </c>
      <c r="B1566" s="27" t="s">
        <v>10</v>
      </c>
      <c r="C1566">
        <v>521.54999999999995</v>
      </c>
      <c r="D1566">
        <v>524</v>
      </c>
      <c r="E1566" s="27" t="s">
        <v>2157</v>
      </c>
      <c r="F1566" s="27"/>
    </row>
    <row r="1567" spans="1:6" x14ac:dyDescent="0.3">
      <c r="A1567" s="27" t="s">
        <v>2058</v>
      </c>
      <c r="B1567" s="27" t="s">
        <v>10</v>
      </c>
      <c r="C1567">
        <v>1575.1</v>
      </c>
      <c r="D1567">
        <v>1582.45</v>
      </c>
      <c r="E1567" s="27" t="s">
        <v>2157</v>
      </c>
      <c r="F1567" s="27"/>
    </row>
    <row r="1568" spans="1:6" x14ac:dyDescent="0.3">
      <c r="A1568" s="27" t="s">
        <v>2161</v>
      </c>
      <c r="B1568" s="27" t="s">
        <v>33</v>
      </c>
      <c r="C1568">
        <v>95.5</v>
      </c>
      <c r="D1568">
        <v>95.95</v>
      </c>
      <c r="E1568" s="27" t="s">
        <v>2157</v>
      </c>
      <c r="F1568" s="27"/>
    </row>
    <row r="1569" spans="1:6" x14ac:dyDescent="0.3">
      <c r="A1569" s="27" t="s">
        <v>3375</v>
      </c>
      <c r="B1569" s="27" t="s">
        <v>33</v>
      </c>
      <c r="C1569">
        <v>4.3</v>
      </c>
      <c r="D1569">
        <v>4.32</v>
      </c>
      <c r="E1569" s="27" t="s">
        <v>2157</v>
      </c>
      <c r="F1569" s="27"/>
    </row>
    <row r="1570" spans="1:6" x14ac:dyDescent="0.3">
      <c r="A1570" s="27" t="s">
        <v>2156</v>
      </c>
      <c r="B1570" s="27" t="s">
        <v>11</v>
      </c>
      <c r="C1570">
        <v>266.3</v>
      </c>
      <c r="D1570">
        <v>267.55</v>
      </c>
      <c r="E1570" s="27" t="s">
        <v>2157</v>
      </c>
      <c r="F1570" s="27"/>
    </row>
    <row r="1571" spans="1:6" x14ac:dyDescent="0.3">
      <c r="A1571" s="27" t="s">
        <v>2158</v>
      </c>
      <c r="B1571" s="27" t="s">
        <v>33</v>
      </c>
      <c r="C1571">
        <v>53.35</v>
      </c>
      <c r="D1571">
        <v>53.6</v>
      </c>
      <c r="E1571" s="27" t="s">
        <v>2157</v>
      </c>
      <c r="F1571" s="27"/>
    </row>
    <row r="1572" spans="1:6" x14ac:dyDescent="0.3">
      <c r="A1572" s="27" t="s">
        <v>1981</v>
      </c>
      <c r="B1572" s="27" t="s">
        <v>10</v>
      </c>
      <c r="C1572">
        <v>218.2</v>
      </c>
      <c r="D1572">
        <v>219.2</v>
      </c>
      <c r="E1572" s="27" t="s">
        <v>2163</v>
      </c>
      <c r="F1572" s="27"/>
    </row>
    <row r="1573" spans="1:6" x14ac:dyDescent="0.3">
      <c r="A1573" s="27" t="s">
        <v>2162</v>
      </c>
      <c r="B1573" s="27" t="s">
        <v>33</v>
      </c>
      <c r="C1573">
        <v>54.1</v>
      </c>
      <c r="D1573">
        <v>54.35</v>
      </c>
      <c r="E1573" s="27" t="s">
        <v>2163</v>
      </c>
      <c r="F1573" s="27"/>
    </row>
    <row r="1574" spans="1:6" x14ac:dyDescent="0.3">
      <c r="A1574" s="27" t="s">
        <v>2208</v>
      </c>
      <c r="B1574" s="27" t="s">
        <v>10</v>
      </c>
      <c r="C1574">
        <v>501.4</v>
      </c>
      <c r="D1574">
        <v>503.7</v>
      </c>
      <c r="E1574" s="27" t="s">
        <v>2163</v>
      </c>
      <c r="F1574" s="27"/>
    </row>
    <row r="1575" spans="1:6" x14ac:dyDescent="0.3">
      <c r="A1575" s="27" t="s">
        <v>2105</v>
      </c>
      <c r="B1575" s="27" t="s">
        <v>10</v>
      </c>
      <c r="C1575">
        <v>545.6</v>
      </c>
      <c r="D1575">
        <v>548.1</v>
      </c>
      <c r="E1575" s="27" t="s">
        <v>2163</v>
      </c>
      <c r="F1575" s="27"/>
    </row>
    <row r="1576" spans="1:6" x14ac:dyDescent="0.3">
      <c r="A1576" s="27" t="s">
        <v>2167</v>
      </c>
      <c r="B1576" s="27" t="s">
        <v>22</v>
      </c>
      <c r="C1576">
        <v>11</v>
      </c>
      <c r="D1576">
        <v>11.05</v>
      </c>
      <c r="E1576" s="27" t="s">
        <v>2165</v>
      </c>
      <c r="F1576" s="27"/>
    </row>
    <row r="1577" spans="1:6" x14ac:dyDescent="0.3">
      <c r="A1577" s="27" t="s">
        <v>2164</v>
      </c>
      <c r="B1577" s="27" t="s">
        <v>33</v>
      </c>
      <c r="C1577">
        <v>411.95</v>
      </c>
      <c r="D1577">
        <v>413.8</v>
      </c>
      <c r="E1577" s="27" t="s">
        <v>2165</v>
      </c>
      <c r="F1577" s="27"/>
    </row>
    <row r="1578" spans="1:6" x14ac:dyDescent="0.3">
      <c r="A1578" s="27" t="s">
        <v>2242</v>
      </c>
      <c r="B1578" s="27" t="s">
        <v>10</v>
      </c>
      <c r="C1578">
        <v>2298</v>
      </c>
      <c r="D1578">
        <v>2308</v>
      </c>
      <c r="E1578" s="27" t="s">
        <v>2170</v>
      </c>
      <c r="F1578" s="27"/>
    </row>
    <row r="1579" spans="1:6" x14ac:dyDescent="0.3">
      <c r="A1579" s="27" t="s">
        <v>2169</v>
      </c>
      <c r="B1579" s="27" t="s">
        <v>33</v>
      </c>
      <c r="C1579">
        <v>9.18</v>
      </c>
      <c r="D1579">
        <v>9.2200000000000006</v>
      </c>
      <c r="E1579" s="27" t="s">
        <v>2170</v>
      </c>
      <c r="F1579" s="27"/>
    </row>
    <row r="1580" spans="1:6" x14ac:dyDescent="0.3">
      <c r="A1580" s="27" t="s">
        <v>2171</v>
      </c>
      <c r="B1580" s="27" t="s">
        <v>33</v>
      </c>
      <c r="C1580">
        <v>22.65</v>
      </c>
      <c r="D1580">
        <v>22.75</v>
      </c>
      <c r="E1580" s="27" t="s">
        <v>2170</v>
      </c>
      <c r="F1580" s="27"/>
    </row>
    <row r="1581" spans="1:6" x14ac:dyDescent="0.3">
      <c r="A1581" s="27" t="s">
        <v>3376</v>
      </c>
      <c r="B1581" s="27" t="s">
        <v>11</v>
      </c>
      <c r="C1581">
        <v>101.55</v>
      </c>
      <c r="D1581">
        <v>102</v>
      </c>
      <c r="E1581" s="27" t="s">
        <v>2170</v>
      </c>
      <c r="F1581" s="27"/>
    </row>
    <row r="1582" spans="1:6" x14ac:dyDescent="0.3">
      <c r="A1582" s="27" t="s">
        <v>2211</v>
      </c>
      <c r="B1582" s="27" t="s">
        <v>10</v>
      </c>
      <c r="C1582">
        <v>516.15</v>
      </c>
      <c r="D1582">
        <v>518.4</v>
      </c>
      <c r="E1582" s="27" t="s">
        <v>2170</v>
      </c>
      <c r="F1582" s="27"/>
    </row>
    <row r="1583" spans="1:6" x14ac:dyDescent="0.3">
      <c r="A1583" s="27" t="s">
        <v>2176</v>
      </c>
      <c r="B1583" s="27" t="s">
        <v>328</v>
      </c>
      <c r="C1583">
        <v>13.94</v>
      </c>
      <c r="D1583">
        <v>14</v>
      </c>
      <c r="E1583" s="27" t="s">
        <v>2174</v>
      </c>
      <c r="F1583" s="27"/>
    </row>
    <row r="1584" spans="1:6" x14ac:dyDescent="0.3">
      <c r="A1584" s="27" t="s">
        <v>2175</v>
      </c>
      <c r="B1584" s="27" t="s">
        <v>11</v>
      </c>
      <c r="C1584">
        <v>462.75</v>
      </c>
      <c r="D1584">
        <v>464.75</v>
      </c>
      <c r="E1584" s="27" t="s">
        <v>2174</v>
      </c>
      <c r="F1584" s="27"/>
    </row>
    <row r="1585" spans="1:6" x14ac:dyDescent="0.3">
      <c r="A1585" s="27" t="s">
        <v>2206</v>
      </c>
      <c r="B1585" s="27" t="s">
        <v>10</v>
      </c>
      <c r="C1585">
        <v>531.65</v>
      </c>
      <c r="D1585">
        <v>533.95000000000005</v>
      </c>
      <c r="E1585" s="27" t="s">
        <v>2174</v>
      </c>
      <c r="F1585" s="27"/>
    </row>
    <row r="1586" spans="1:6" x14ac:dyDescent="0.3">
      <c r="A1586" s="27" t="s">
        <v>2218</v>
      </c>
      <c r="B1586" s="27" t="s">
        <v>10</v>
      </c>
      <c r="C1586">
        <v>1433.05</v>
      </c>
      <c r="D1586">
        <v>1439.25</v>
      </c>
      <c r="E1586" s="27" t="s">
        <v>2174</v>
      </c>
      <c r="F1586" s="27"/>
    </row>
    <row r="1587" spans="1:6" x14ac:dyDescent="0.3">
      <c r="A1587" s="27" t="s">
        <v>2180</v>
      </c>
      <c r="B1587" s="27" t="s">
        <v>10</v>
      </c>
      <c r="C1587">
        <v>838.45</v>
      </c>
      <c r="D1587">
        <v>842</v>
      </c>
      <c r="E1587" s="27" t="s">
        <v>2178</v>
      </c>
      <c r="F1587" s="27"/>
    </row>
    <row r="1588" spans="1:6" x14ac:dyDescent="0.3">
      <c r="A1588" s="27" t="s">
        <v>2177</v>
      </c>
      <c r="B1588" s="27" t="s">
        <v>10</v>
      </c>
      <c r="C1588">
        <v>534.15</v>
      </c>
      <c r="D1588">
        <v>536.4</v>
      </c>
      <c r="E1588" s="27" t="s">
        <v>2178</v>
      </c>
      <c r="F1588" s="27"/>
    </row>
    <row r="1589" spans="1:6" x14ac:dyDescent="0.3">
      <c r="A1589" s="27" t="s">
        <v>2100</v>
      </c>
      <c r="B1589" s="27" t="s">
        <v>10</v>
      </c>
      <c r="C1589">
        <v>955.95</v>
      </c>
      <c r="D1589">
        <v>960</v>
      </c>
      <c r="E1589" s="27" t="s">
        <v>2178</v>
      </c>
      <c r="F1589" s="27"/>
    </row>
    <row r="1590" spans="1:6" x14ac:dyDescent="0.3">
      <c r="A1590" s="27" t="s">
        <v>2102</v>
      </c>
      <c r="B1590" s="27" t="s">
        <v>10</v>
      </c>
      <c r="C1590">
        <v>204.4</v>
      </c>
      <c r="D1590">
        <v>205.25</v>
      </c>
      <c r="E1590" s="27" t="s">
        <v>2178</v>
      </c>
      <c r="F1590" s="27"/>
    </row>
    <row r="1591" spans="1:6" x14ac:dyDescent="0.3">
      <c r="A1591" s="27" t="s">
        <v>2183</v>
      </c>
      <c r="B1591" s="27" t="s">
        <v>11</v>
      </c>
      <c r="C1591">
        <v>82.45</v>
      </c>
      <c r="D1591">
        <v>82.8</v>
      </c>
      <c r="E1591" s="27" t="s">
        <v>2178</v>
      </c>
      <c r="F1591" s="27"/>
    </row>
    <row r="1592" spans="1:6" x14ac:dyDescent="0.3">
      <c r="A1592" s="27" t="s">
        <v>2179</v>
      </c>
      <c r="B1592" s="27" t="s">
        <v>33</v>
      </c>
      <c r="C1592">
        <v>407.5</v>
      </c>
      <c r="D1592">
        <v>409.2</v>
      </c>
      <c r="E1592" s="27" t="s">
        <v>2178</v>
      </c>
      <c r="F1592" s="27"/>
    </row>
    <row r="1593" spans="1:6" x14ac:dyDescent="0.3">
      <c r="A1593" s="27" t="s">
        <v>2264</v>
      </c>
      <c r="B1593" s="27" t="s">
        <v>10</v>
      </c>
      <c r="C1593">
        <v>920.05</v>
      </c>
      <c r="D1593">
        <v>923.9</v>
      </c>
      <c r="E1593" s="27" t="s">
        <v>2178</v>
      </c>
      <c r="F1593" s="27"/>
    </row>
    <row r="1594" spans="1:6" x14ac:dyDescent="0.3">
      <c r="A1594" s="27" t="s">
        <v>2182</v>
      </c>
      <c r="B1594" s="27" t="s">
        <v>10</v>
      </c>
      <c r="C1594">
        <v>176.65</v>
      </c>
      <c r="D1594">
        <v>177.4</v>
      </c>
      <c r="E1594" s="27" t="s">
        <v>2178</v>
      </c>
      <c r="F1594" s="27"/>
    </row>
    <row r="1595" spans="1:6" x14ac:dyDescent="0.3">
      <c r="A1595" s="27" t="s">
        <v>2181</v>
      </c>
      <c r="B1595" s="27" t="s">
        <v>11</v>
      </c>
      <c r="C1595">
        <v>120</v>
      </c>
      <c r="D1595">
        <v>120.5</v>
      </c>
      <c r="E1595" s="27" t="s">
        <v>2178</v>
      </c>
      <c r="F1595" s="27"/>
    </row>
    <row r="1596" spans="1:6" x14ac:dyDescent="0.3">
      <c r="A1596" s="27" t="s">
        <v>2185</v>
      </c>
      <c r="B1596" s="27" t="s">
        <v>11</v>
      </c>
      <c r="C1596">
        <v>7.17</v>
      </c>
      <c r="D1596">
        <v>7.2</v>
      </c>
      <c r="E1596" s="27" t="s">
        <v>2178</v>
      </c>
      <c r="F1596" s="27"/>
    </row>
    <row r="1597" spans="1:6" x14ac:dyDescent="0.3">
      <c r="A1597" s="27" t="s">
        <v>1856</v>
      </c>
      <c r="B1597" s="27" t="s">
        <v>33</v>
      </c>
      <c r="C1597">
        <v>12.07</v>
      </c>
      <c r="D1597">
        <v>12.12</v>
      </c>
      <c r="E1597" s="27" t="s">
        <v>2187</v>
      </c>
      <c r="F1597" s="27"/>
    </row>
    <row r="1598" spans="1:6" x14ac:dyDescent="0.3">
      <c r="A1598" s="27" t="s">
        <v>2188</v>
      </c>
      <c r="B1598" s="27" t="s">
        <v>11</v>
      </c>
      <c r="C1598">
        <v>120.5</v>
      </c>
      <c r="D1598">
        <v>121</v>
      </c>
      <c r="E1598" s="27" t="s">
        <v>2187</v>
      </c>
      <c r="F1598" s="27"/>
    </row>
    <row r="1599" spans="1:6" x14ac:dyDescent="0.3">
      <c r="A1599" s="27" t="s">
        <v>2186</v>
      </c>
      <c r="B1599" s="27" t="s">
        <v>10</v>
      </c>
      <c r="C1599">
        <v>291.39999999999998</v>
      </c>
      <c r="D1599">
        <v>292.60000000000002</v>
      </c>
      <c r="E1599" s="27" t="s">
        <v>2187</v>
      </c>
      <c r="F1599" s="27"/>
    </row>
    <row r="1600" spans="1:6" x14ac:dyDescent="0.3">
      <c r="A1600" s="27" t="s">
        <v>2189</v>
      </c>
      <c r="B1600" s="27" t="s">
        <v>10</v>
      </c>
      <c r="C1600">
        <v>1524.45</v>
      </c>
      <c r="D1600">
        <v>1530.65</v>
      </c>
      <c r="E1600" s="27" t="s">
        <v>2187</v>
      </c>
      <c r="F1600" s="27"/>
    </row>
    <row r="1601" spans="1:6" x14ac:dyDescent="0.3">
      <c r="A1601" s="27" t="s">
        <v>2190</v>
      </c>
      <c r="B1601" s="27" t="s">
        <v>10</v>
      </c>
      <c r="C1601">
        <v>1396.9</v>
      </c>
      <c r="D1601">
        <v>1402.55</v>
      </c>
      <c r="E1601" s="27" t="s">
        <v>2191</v>
      </c>
      <c r="F1601" s="27"/>
    </row>
    <row r="1602" spans="1:6" x14ac:dyDescent="0.3">
      <c r="A1602" s="27" t="s">
        <v>2193</v>
      </c>
      <c r="B1602" s="27" t="s">
        <v>10</v>
      </c>
      <c r="C1602">
        <v>37.1</v>
      </c>
      <c r="D1602">
        <v>37.25</v>
      </c>
      <c r="E1602" s="27" t="s">
        <v>2191</v>
      </c>
      <c r="F1602" s="27"/>
    </row>
    <row r="1603" spans="1:6" x14ac:dyDescent="0.3">
      <c r="A1603" s="27" t="s">
        <v>2213</v>
      </c>
      <c r="B1603" s="27" t="s">
        <v>10</v>
      </c>
      <c r="C1603">
        <v>1860</v>
      </c>
      <c r="D1603">
        <v>1867.45</v>
      </c>
      <c r="E1603" s="27" t="s">
        <v>2191</v>
      </c>
      <c r="F1603" s="27"/>
    </row>
    <row r="1604" spans="1:6" x14ac:dyDescent="0.3">
      <c r="A1604" s="27" t="s">
        <v>2196</v>
      </c>
      <c r="B1604" s="27" t="s">
        <v>10</v>
      </c>
      <c r="C1604">
        <v>410.75</v>
      </c>
      <c r="D1604">
        <v>412.4</v>
      </c>
      <c r="E1604" s="27" t="s">
        <v>2191</v>
      </c>
      <c r="F1604" s="27"/>
    </row>
    <row r="1605" spans="1:6" x14ac:dyDescent="0.3">
      <c r="A1605" s="27" t="s">
        <v>2194</v>
      </c>
      <c r="B1605" s="27" t="s">
        <v>11</v>
      </c>
      <c r="C1605">
        <v>9969.75</v>
      </c>
      <c r="D1605">
        <v>10010</v>
      </c>
      <c r="E1605" s="27" t="s">
        <v>2191</v>
      </c>
      <c r="F1605" s="27"/>
    </row>
    <row r="1606" spans="1:6" x14ac:dyDescent="0.3">
      <c r="A1606" s="27" t="s">
        <v>2195</v>
      </c>
      <c r="B1606" s="27" t="s">
        <v>11</v>
      </c>
      <c r="C1606">
        <v>100.2</v>
      </c>
      <c r="D1606">
        <v>100.6</v>
      </c>
      <c r="E1606" s="27" t="s">
        <v>2191</v>
      </c>
      <c r="F1606" s="27"/>
    </row>
    <row r="1607" spans="1:6" x14ac:dyDescent="0.3">
      <c r="A1607" s="27" t="s">
        <v>1571</v>
      </c>
      <c r="B1607" s="27" t="s">
        <v>11</v>
      </c>
      <c r="C1607">
        <v>38.65</v>
      </c>
      <c r="D1607">
        <v>38.799999999999997</v>
      </c>
      <c r="E1607" s="27" t="s">
        <v>2198</v>
      </c>
      <c r="F1607" s="27"/>
    </row>
    <row r="1608" spans="1:6" x14ac:dyDescent="0.3">
      <c r="A1608" s="27" t="s">
        <v>2199</v>
      </c>
      <c r="B1608" s="27" t="s">
        <v>33</v>
      </c>
      <c r="C1608">
        <v>515</v>
      </c>
      <c r="D1608">
        <v>517</v>
      </c>
      <c r="E1608" s="27" t="s">
        <v>2198</v>
      </c>
      <c r="F1608" s="27"/>
    </row>
    <row r="1609" spans="1:6" x14ac:dyDescent="0.3">
      <c r="A1609" s="27" t="s">
        <v>2200</v>
      </c>
      <c r="B1609" s="27" t="s">
        <v>10</v>
      </c>
      <c r="C1609">
        <v>399.05</v>
      </c>
      <c r="D1609">
        <v>400.6</v>
      </c>
      <c r="E1609" s="27" t="s">
        <v>2198</v>
      </c>
      <c r="F1609" s="27"/>
    </row>
    <row r="1610" spans="1:6" x14ac:dyDescent="0.3">
      <c r="A1610" s="27" t="s">
        <v>2197</v>
      </c>
      <c r="B1610" s="27" t="s">
        <v>11</v>
      </c>
      <c r="C1610">
        <v>597.65</v>
      </c>
      <c r="D1610">
        <v>600</v>
      </c>
      <c r="E1610" s="27" t="s">
        <v>2198</v>
      </c>
      <c r="F1610" s="27"/>
    </row>
    <row r="1611" spans="1:6" x14ac:dyDescent="0.3">
      <c r="A1611" s="27" t="s">
        <v>2099</v>
      </c>
      <c r="B1611" s="27" t="s">
        <v>10</v>
      </c>
      <c r="C1611">
        <v>78.8</v>
      </c>
      <c r="D1611">
        <v>79.099999999999994</v>
      </c>
      <c r="E1611" s="27" t="s">
        <v>2202</v>
      </c>
      <c r="F1611" s="27"/>
    </row>
    <row r="1612" spans="1:6" x14ac:dyDescent="0.3">
      <c r="A1612" s="27" t="s">
        <v>2310</v>
      </c>
      <c r="B1612" s="27" t="s">
        <v>11</v>
      </c>
      <c r="C1612">
        <v>476.2</v>
      </c>
      <c r="D1612">
        <v>477.95</v>
      </c>
      <c r="E1612" s="27" t="s">
        <v>2205</v>
      </c>
      <c r="F1612" s="27"/>
    </row>
    <row r="1613" spans="1:6" x14ac:dyDescent="0.3">
      <c r="A1613" s="27" t="s">
        <v>2207</v>
      </c>
      <c r="B1613" s="27" t="s">
        <v>11</v>
      </c>
      <c r="C1613">
        <v>41</v>
      </c>
      <c r="D1613">
        <v>41.15</v>
      </c>
      <c r="E1613" s="27" t="s">
        <v>2205</v>
      </c>
      <c r="F1613" s="27"/>
    </row>
    <row r="1614" spans="1:6" x14ac:dyDescent="0.3">
      <c r="A1614" s="27" t="s">
        <v>2204</v>
      </c>
      <c r="B1614" s="27" t="s">
        <v>11</v>
      </c>
      <c r="C1614">
        <v>667.55</v>
      </c>
      <c r="D1614">
        <v>670</v>
      </c>
      <c r="E1614" s="27" t="s">
        <v>2205</v>
      </c>
      <c r="F1614" s="27"/>
    </row>
    <row r="1615" spans="1:6" x14ac:dyDescent="0.3">
      <c r="A1615" s="27" t="s">
        <v>2323</v>
      </c>
      <c r="B1615" s="27" t="s">
        <v>10</v>
      </c>
      <c r="C1615">
        <v>822.4</v>
      </c>
      <c r="D1615">
        <v>825.4</v>
      </c>
      <c r="E1615" s="27" t="s">
        <v>2210</v>
      </c>
      <c r="F1615" s="27"/>
    </row>
    <row r="1616" spans="1:6" x14ac:dyDescent="0.3">
      <c r="A1616" s="27" t="s">
        <v>2209</v>
      </c>
      <c r="B1616" s="27" t="s">
        <v>11</v>
      </c>
      <c r="C1616">
        <v>41.95</v>
      </c>
      <c r="D1616">
        <v>42.1</v>
      </c>
      <c r="E1616" s="27" t="s">
        <v>2210</v>
      </c>
      <c r="F1616" s="27"/>
    </row>
    <row r="1617" spans="1:6" x14ac:dyDescent="0.3">
      <c r="A1617" s="27" t="s">
        <v>2212</v>
      </c>
      <c r="B1617" s="27" t="s">
        <v>328</v>
      </c>
      <c r="C1617">
        <v>2.78</v>
      </c>
      <c r="D1617">
        <v>2.79</v>
      </c>
      <c r="E1617" s="27" t="s">
        <v>2210</v>
      </c>
      <c r="F1617" s="27"/>
    </row>
    <row r="1618" spans="1:6" x14ac:dyDescent="0.3">
      <c r="A1618" s="27" t="s">
        <v>2021</v>
      </c>
      <c r="B1618" s="27" t="s">
        <v>10</v>
      </c>
      <c r="C1618">
        <v>8.3699999999999992</v>
      </c>
      <c r="D1618">
        <v>8.4</v>
      </c>
      <c r="E1618" s="27" t="s">
        <v>2210</v>
      </c>
      <c r="F1618" s="27"/>
    </row>
    <row r="1619" spans="1:6" x14ac:dyDescent="0.3">
      <c r="A1619" s="27" t="s">
        <v>2152</v>
      </c>
      <c r="B1619" s="27" t="s">
        <v>10</v>
      </c>
      <c r="C1619">
        <v>252.35</v>
      </c>
      <c r="D1619">
        <v>253.25</v>
      </c>
      <c r="E1619" s="27" t="s">
        <v>2210</v>
      </c>
      <c r="F1619" s="27"/>
    </row>
    <row r="1620" spans="1:6" x14ac:dyDescent="0.3">
      <c r="A1620" s="27" t="s">
        <v>2248</v>
      </c>
      <c r="B1620" s="27" t="s">
        <v>10</v>
      </c>
      <c r="C1620">
        <v>68.95</v>
      </c>
      <c r="D1620">
        <v>69.2</v>
      </c>
      <c r="E1620" s="27" t="s">
        <v>2210</v>
      </c>
      <c r="F1620" s="27"/>
    </row>
    <row r="1621" spans="1:6" x14ac:dyDescent="0.3">
      <c r="A1621" s="27" t="s">
        <v>2266</v>
      </c>
      <c r="B1621" s="27" t="s">
        <v>10</v>
      </c>
      <c r="C1621">
        <v>4650.75</v>
      </c>
      <c r="D1621">
        <v>4667</v>
      </c>
      <c r="E1621" s="27" t="s">
        <v>2216</v>
      </c>
      <c r="F1621" s="27"/>
    </row>
    <row r="1622" spans="1:6" x14ac:dyDescent="0.3">
      <c r="A1622" s="27" t="s">
        <v>1937</v>
      </c>
      <c r="B1622" s="27" t="s">
        <v>10</v>
      </c>
      <c r="C1622">
        <v>3387.6</v>
      </c>
      <c r="D1622">
        <v>3399.3</v>
      </c>
      <c r="E1622" s="27" t="s">
        <v>2216</v>
      </c>
      <c r="F1622" s="27"/>
    </row>
    <row r="1623" spans="1:6" x14ac:dyDescent="0.3">
      <c r="A1623" s="27" t="s">
        <v>2219</v>
      </c>
      <c r="B1623" s="27" t="s">
        <v>11</v>
      </c>
      <c r="C1623">
        <v>1130.7</v>
      </c>
      <c r="D1623">
        <v>1134.7</v>
      </c>
      <c r="E1623" s="27" t="s">
        <v>2216</v>
      </c>
      <c r="F1623" s="27"/>
    </row>
    <row r="1624" spans="1:6" x14ac:dyDescent="0.3">
      <c r="A1624" s="27" t="s">
        <v>2220</v>
      </c>
      <c r="B1624" s="27" t="s">
        <v>11</v>
      </c>
      <c r="C1624">
        <v>230.75</v>
      </c>
      <c r="D1624">
        <v>231.55</v>
      </c>
      <c r="E1624" s="27" t="s">
        <v>2216</v>
      </c>
      <c r="F1624" s="27"/>
    </row>
    <row r="1625" spans="1:6" x14ac:dyDescent="0.3">
      <c r="A1625" s="27" t="s">
        <v>2283</v>
      </c>
      <c r="B1625" s="27" t="s">
        <v>10</v>
      </c>
      <c r="C1625">
        <v>686.6</v>
      </c>
      <c r="D1625">
        <v>689</v>
      </c>
      <c r="E1625" s="27" t="s">
        <v>2216</v>
      </c>
      <c r="F1625" s="27"/>
    </row>
    <row r="1626" spans="1:6" x14ac:dyDescent="0.3">
      <c r="A1626" s="27" t="s">
        <v>2217</v>
      </c>
      <c r="B1626" s="27" t="s">
        <v>11</v>
      </c>
      <c r="C1626">
        <v>71.900000000000006</v>
      </c>
      <c r="D1626">
        <v>72.150000000000006</v>
      </c>
      <c r="E1626" s="27" t="s">
        <v>2216</v>
      </c>
      <c r="F1626" s="27"/>
    </row>
    <row r="1627" spans="1:6" x14ac:dyDescent="0.3">
      <c r="A1627" s="27" t="s">
        <v>2368</v>
      </c>
      <c r="B1627" s="27" t="s">
        <v>10</v>
      </c>
      <c r="C1627">
        <v>447.25</v>
      </c>
      <c r="D1627">
        <v>448.8</v>
      </c>
      <c r="E1627" s="27" t="s">
        <v>2216</v>
      </c>
      <c r="F1627" s="27"/>
    </row>
    <row r="1628" spans="1:6" x14ac:dyDescent="0.3">
      <c r="A1628" s="27" t="s">
        <v>2215</v>
      </c>
      <c r="B1628" s="27" t="s">
        <v>29</v>
      </c>
      <c r="C1628">
        <v>8.57</v>
      </c>
      <c r="D1628">
        <v>8.6</v>
      </c>
      <c r="E1628" s="27" t="s">
        <v>2216</v>
      </c>
      <c r="F1628" s="27"/>
    </row>
    <row r="1629" spans="1:6" x14ac:dyDescent="0.3">
      <c r="A1629" s="27" t="s">
        <v>2224</v>
      </c>
      <c r="B1629" s="27" t="s">
        <v>11</v>
      </c>
      <c r="C1629">
        <v>74.2</v>
      </c>
      <c r="D1629">
        <v>74.45</v>
      </c>
      <c r="E1629" s="27" t="s">
        <v>2222</v>
      </c>
      <c r="F1629" s="27"/>
    </row>
    <row r="1630" spans="1:6" x14ac:dyDescent="0.3">
      <c r="A1630" s="27" t="s">
        <v>2343</v>
      </c>
      <c r="B1630" s="27" t="s">
        <v>10</v>
      </c>
      <c r="C1630">
        <v>838.15</v>
      </c>
      <c r="D1630">
        <v>841</v>
      </c>
      <c r="E1630" s="27" t="s">
        <v>2222</v>
      </c>
      <c r="F1630" s="27"/>
    </row>
    <row r="1631" spans="1:6" x14ac:dyDescent="0.3">
      <c r="A1631" s="27" t="s">
        <v>2221</v>
      </c>
      <c r="B1631" s="27" t="s">
        <v>10</v>
      </c>
      <c r="C1631">
        <v>668.2</v>
      </c>
      <c r="D1631">
        <v>670.5</v>
      </c>
      <c r="E1631" s="27" t="s">
        <v>2222</v>
      </c>
      <c r="F1631" s="27"/>
    </row>
    <row r="1632" spans="1:6" x14ac:dyDescent="0.3">
      <c r="A1632" s="27" t="s">
        <v>2320</v>
      </c>
      <c r="B1632" s="27" t="s">
        <v>10</v>
      </c>
      <c r="C1632">
        <v>3787.25</v>
      </c>
      <c r="D1632">
        <v>3799.6</v>
      </c>
      <c r="E1632" s="27" t="s">
        <v>2227</v>
      </c>
      <c r="F1632" s="27"/>
    </row>
    <row r="1633" spans="1:6" x14ac:dyDescent="0.3">
      <c r="A1633" s="27" t="s">
        <v>2226</v>
      </c>
      <c r="B1633" s="27" t="s">
        <v>33</v>
      </c>
      <c r="C1633">
        <v>305</v>
      </c>
      <c r="D1633">
        <v>306</v>
      </c>
      <c r="E1633" s="27" t="s">
        <v>2227</v>
      </c>
      <c r="F1633" s="27"/>
    </row>
    <row r="1634" spans="1:6" x14ac:dyDescent="0.3">
      <c r="A1634" s="27" t="s">
        <v>2236</v>
      </c>
      <c r="B1634" s="27" t="s">
        <v>10</v>
      </c>
      <c r="C1634">
        <v>949.8</v>
      </c>
      <c r="D1634">
        <v>952.85</v>
      </c>
      <c r="E1634" s="27" t="s">
        <v>2230</v>
      </c>
      <c r="F1634" s="27"/>
    </row>
    <row r="1635" spans="1:6" x14ac:dyDescent="0.3">
      <c r="A1635" s="27" t="s">
        <v>2233</v>
      </c>
      <c r="B1635" s="27" t="s">
        <v>33</v>
      </c>
      <c r="C1635">
        <v>187.2</v>
      </c>
      <c r="D1635">
        <v>187.8</v>
      </c>
      <c r="E1635" s="27" t="s">
        <v>2230</v>
      </c>
      <c r="F1635" s="27"/>
    </row>
    <row r="1636" spans="1:6" x14ac:dyDescent="0.3">
      <c r="A1636" s="27" t="s">
        <v>2235</v>
      </c>
      <c r="B1636" s="27" t="s">
        <v>11</v>
      </c>
      <c r="C1636">
        <v>6.19</v>
      </c>
      <c r="D1636">
        <v>6.21</v>
      </c>
      <c r="E1636" s="27" t="s">
        <v>2230</v>
      </c>
      <c r="F1636" s="27"/>
    </row>
    <row r="1637" spans="1:6" x14ac:dyDescent="0.3">
      <c r="A1637" s="27" t="s">
        <v>2234</v>
      </c>
      <c r="B1637" s="27" t="s">
        <v>11</v>
      </c>
      <c r="C1637">
        <v>46.4</v>
      </c>
      <c r="D1637">
        <v>46.55</v>
      </c>
      <c r="E1637" s="27" t="s">
        <v>2230</v>
      </c>
      <c r="F1637" s="27"/>
    </row>
    <row r="1638" spans="1:6" x14ac:dyDescent="0.3">
      <c r="A1638" s="27" t="s">
        <v>2159</v>
      </c>
      <c r="B1638" s="27" t="s">
        <v>10</v>
      </c>
      <c r="C1638">
        <v>126.6</v>
      </c>
      <c r="D1638">
        <v>127</v>
      </c>
      <c r="E1638" s="27" t="s">
        <v>2230</v>
      </c>
      <c r="F1638" s="27"/>
    </row>
    <row r="1639" spans="1:6" x14ac:dyDescent="0.3">
      <c r="A1639" s="27" t="s">
        <v>2229</v>
      </c>
      <c r="B1639" s="27" t="s">
        <v>33</v>
      </c>
      <c r="C1639">
        <v>406.7</v>
      </c>
      <c r="D1639">
        <v>408</v>
      </c>
      <c r="E1639" s="27" t="s">
        <v>2230</v>
      </c>
      <c r="F1639" s="27"/>
    </row>
    <row r="1640" spans="1:6" x14ac:dyDescent="0.3">
      <c r="A1640" s="27" t="s">
        <v>2231</v>
      </c>
      <c r="B1640" s="27" t="s">
        <v>11</v>
      </c>
      <c r="C1640">
        <v>139.4</v>
      </c>
      <c r="D1640">
        <v>139.85</v>
      </c>
      <c r="E1640" s="27" t="s">
        <v>2230</v>
      </c>
      <c r="F1640" s="27"/>
    </row>
    <row r="1641" spans="1:6" x14ac:dyDescent="0.3">
      <c r="A1641" s="27" t="s">
        <v>2232</v>
      </c>
      <c r="B1641" s="27" t="s">
        <v>10</v>
      </c>
      <c r="C1641">
        <v>3719</v>
      </c>
      <c r="D1641">
        <v>3731</v>
      </c>
      <c r="E1641" s="27" t="s">
        <v>2230</v>
      </c>
      <c r="F1641" s="27"/>
    </row>
    <row r="1642" spans="1:6" x14ac:dyDescent="0.3">
      <c r="A1642" s="27" t="s">
        <v>2304</v>
      </c>
      <c r="B1642" s="27" t="s">
        <v>10</v>
      </c>
      <c r="C1642">
        <v>352.05</v>
      </c>
      <c r="D1642">
        <v>353.15</v>
      </c>
      <c r="E1642" s="27" t="s">
        <v>2238</v>
      </c>
      <c r="F1642" s="27"/>
    </row>
    <row r="1643" spans="1:6" x14ac:dyDescent="0.3">
      <c r="A1643" s="27" t="s">
        <v>2237</v>
      </c>
      <c r="B1643" s="27" t="s">
        <v>328</v>
      </c>
      <c r="C1643">
        <v>13.01</v>
      </c>
      <c r="D1643">
        <v>13.05</v>
      </c>
      <c r="E1643" s="27" t="s">
        <v>2238</v>
      </c>
      <c r="F1643" s="27"/>
    </row>
    <row r="1644" spans="1:6" x14ac:dyDescent="0.3">
      <c r="A1644" s="27" t="s">
        <v>2239</v>
      </c>
      <c r="B1644" s="27" t="s">
        <v>11</v>
      </c>
      <c r="C1644">
        <v>16.149999999999999</v>
      </c>
      <c r="D1644">
        <v>16.2</v>
      </c>
      <c r="E1644" s="27" t="s">
        <v>2238</v>
      </c>
      <c r="F1644" s="27"/>
    </row>
    <row r="1645" spans="1:6" x14ac:dyDescent="0.3">
      <c r="A1645" s="27" t="s">
        <v>2240</v>
      </c>
      <c r="B1645" s="27" t="s">
        <v>10</v>
      </c>
      <c r="C1645">
        <v>284.14999999999998</v>
      </c>
      <c r="D1645">
        <v>285</v>
      </c>
      <c r="E1645" s="27" t="s">
        <v>2241</v>
      </c>
      <c r="F1645" s="27"/>
    </row>
    <row r="1646" spans="1:6" x14ac:dyDescent="0.3">
      <c r="A1646" s="27" t="s">
        <v>2245</v>
      </c>
      <c r="B1646" s="27" t="s">
        <v>10</v>
      </c>
      <c r="C1646">
        <v>466.45</v>
      </c>
      <c r="D1646">
        <v>467.8</v>
      </c>
      <c r="E1646" s="27" t="s">
        <v>2244</v>
      </c>
      <c r="F1646" s="27"/>
    </row>
    <row r="1647" spans="1:6" x14ac:dyDescent="0.3">
      <c r="A1647" s="27" t="s">
        <v>3377</v>
      </c>
      <c r="B1647" s="27" t="s">
        <v>33</v>
      </c>
      <c r="C1647">
        <v>17.05</v>
      </c>
      <c r="D1647">
        <v>17.100000000000001</v>
      </c>
      <c r="E1647" s="27" t="s">
        <v>2244</v>
      </c>
      <c r="F1647" s="27"/>
    </row>
    <row r="1648" spans="1:6" x14ac:dyDescent="0.3">
      <c r="A1648" s="27" t="s">
        <v>2247</v>
      </c>
      <c r="B1648" s="27" t="s">
        <v>33</v>
      </c>
      <c r="C1648">
        <v>34.950000000000003</v>
      </c>
      <c r="D1648">
        <v>35.049999999999997</v>
      </c>
      <c r="E1648" s="27" t="s">
        <v>2244</v>
      </c>
      <c r="F1648" s="27"/>
    </row>
    <row r="1649" spans="1:6" x14ac:dyDescent="0.3">
      <c r="A1649" s="27" t="s">
        <v>2173</v>
      </c>
      <c r="B1649" s="27" t="s">
        <v>10</v>
      </c>
      <c r="C1649">
        <v>14438.5</v>
      </c>
      <c r="D1649">
        <v>14480.9</v>
      </c>
      <c r="E1649" s="27" t="s">
        <v>2244</v>
      </c>
      <c r="F1649" s="27"/>
    </row>
    <row r="1650" spans="1:6" x14ac:dyDescent="0.3">
      <c r="A1650" s="27" t="s">
        <v>2386</v>
      </c>
      <c r="B1650" s="27" t="s">
        <v>10</v>
      </c>
      <c r="C1650">
        <v>1458.7</v>
      </c>
      <c r="D1650">
        <v>1462.95</v>
      </c>
      <c r="E1650" s="27" t="s">
        <v>2244</v>
      </c>
      <c r="F1650" s="27"/>
    </row>
    <row r="1651" spans="1:6" x14ac:dyDescent="0.3">
      <c r="A1651" s="27" t="s">
        <v>2246</v>
      </c>
      <c r="B1651" s="27" t="s">
        <v>33</v>
      </c>
      <c r="C1651">
        <v>260.55</v>
      </c>
      <c r="D1651">
        <v>261.3</v>
      </c>
      <c r="E1651" s="27" t="s">
        <v>2244</v>
      </c>
      <c r="F1651" s="27"/>
    </row>
    <row r="1652" spans="1:6" x14ac:dyDescent="0.3">
      <c r="A1652" s="27" t="s">
        <v>2040</v>
      </c>
      <c r="B1652" s="27" t="s">
        <v>10</v>
      </c>
      <c r="C1652">
        <v>108.65</v>
      </c>
      <c r="D1652">
        <v>108.95</v>
      </c>
      <c r="E1652" s="27" t="s">
        <v>2250</v>
      </c>
      <c r="F1652" s="27"/>
    </row>
    <row r="1653" spans="1:6" x14ac:dyDescent="0.3">
      <c r="A1653" s="27" t="s">
        <v>2249</v>
      </c>
      <c r="B1653" s="27" t="s">
        <v>10</v>
      </c>
      <c r="C1653">
        <v>89.6</v>
      </c>
      <c r="D1653">
        <v>89.85</v>
      </c>
      <c r="E1653" s="27" t="s">
        <v>2250</v>
      </c>
      <c r="F1653" s="27"/>
    </row>
    <row r="1654" spans="1:6" x14ac:dyDescent="0.3">
      <c r="A1654" s="27" t="s">
        <v>2252</v>
      </c>
      <c r="B1654" s="27" t="s">
        <v>11</v>
      </c>
      <c r="C1654">
        <v>807.5</v>
      </c>
      <c r="D1654">
        <v>809.8</v>
      </c>
      <c r="E1654" s="27" t="s">
        <v>2250</v>
      </c>
      <c r="F1654" s="27"/>
    </row>
    <row r="1655" spans="1:6" x14ac:dyDescent="0.3">
      <c r="A1655" s="27" t="s">
        <v>2256</v>
      </c>
      <c r="B1655" s="27" t="s">
        <v>11</v>
      </c>
      <c r="C1655">
        <v>17.75</v>
      </c>
      <c r="D1655">
        <v>17.8</v>
      </c>
      <c r="E1655" s="27" t="s">
        <v>2250</v>
      </c>
      <c r="F1655" s="27"/>
    </row>
    <row r="1656" spans="1:6" x14ac:dyDescent="0.3">
      <c r="A1656" s="27" t="s">
        <v>2255</v>
      </c>
      <c r="B1656" s="27" t="s">
        <v>11</v>
      </c>
      <c r="C1656">
        <v>17.649999999999999</v>
      </c>
      <c r="D1656">
        <v>17.7</v>
      </c>
      <c r="E1656" s="27" t="s">
        <v>2250</v>
      </c>
      <c r="F1656" s="27"/>
    </row>
    <row r="1657" spans="1:6" x14ac:dyDescent="0.3">
      <c r="A1657" s="27" t="s">
        <v>2253</v>
      </c>
      <c r="B1657" s="27" t="s">
        <v>10</v>
      </c>
      <c r="C1657">
        <v>107.2</v>
      </c>
      <c r="D1657">
        <v>107.5</v>
      </c>
      <c r="E1657" s="27" t="s">
        <v>2250</v>
      </c>
      <c r="F1657" s="27"/>
    </row>
    <row r="1658" spans="1:6" x14ac:dyDescent="0.3">
      <c r="A1658" s="27" t="s">
        <v>2265</v>
      </c>
      <c r="B1658" s="27" t="s">
        <v>11</v>
      </c>
      <c r="C1658">
        <v>14.57</v>
      </c>
      <c r="D1658">
        <v>14.61</v>
      </c>
      <c r="E1658" s="27" t="s">
        <v>2258</v>
      </c>
      <c r="F1658" s="27"/>
    </row>
    <row r="1659" spans="1:6" x14ac:dyDescent="0.3">
      <c r="A1659" s="27" t="s">
        <v>2262</v>
      </c>
      <c r="B1659" s="27" t="s">
        <v>11</v>
      </c>
      <c r="C1659">
        <v>18.8</v>
      </c>
      <c r="D1659">
        <v>18.850000000000001</v>
      </c>
      <c r="E1659" s="27" t="s">
        <v>2258</v>
      </c>
      <c r="F1659" s="27"/>
    </row>
    <row r="1660" spans="1:6" x14ac:dyDescent="0.3">
      <c r="A1660" s="27" t="s">
        <v>2261</v>
      </c>
      <c r="B1660" s="27" t="s">
        <v>11</v>
      </c>
      <c r="C1660">
        <v>55.85</v>
      </c>
      <c r="D1660">
        <v>56</v>
      </c>
      <c r="E1660" s="27" t="s">
        <v>2258</v>
      </c>
      <c r="F1660" s="27"/>
    </row>
    <row r="1661" spans="1:6" x14ac:dyDescent="0.3">
      <c r="A1661" s="27" t="s">
        <v>2263</v>
      </c>
      <c r="B1661" s="27" t="s">
        <v>10</v>
      </c>
      <c r="C1661">
        <v>3690.1</v>
      </c>
      <c r="D1661">
        <v>3700</v>
      </c>
      <c r="E1661" s="27" t="s">
        <v>2258</v>
      </c>
      <c r="F1661" s="27"/>
    </row>
    <row r="1662" spans="1:6" x14ac:dyDescent="0.3">
      <c r="A1662" s="27" t="s">
        <v>1362</v>
      </c>
      <c r="B1662" s="27" t="s">
        <v>11</v>
      </c>
      <c r="C1662">
        <v>109.8</v>
      </c>
      <c r="D1662">
        <v>110.1</v>
      </c>
      <c r="E1662" s="27" t="s">
        <v>2258</v>
      </c>
      <c r="F1662" s="27"/>
    </row>
    <row r="1663" spans="1:6" x14ac:dyDescent="0.3">
      <c r="A1663" s="27" t="s">
        <v>2257</v>
      </c>
      <c r="B1663" s="27" t="s">
        <v>11</v>
      </c>
      <c r="C1663">
        <v>164.35</v>
      </c>
      <c r="D1663">
        <v>164.8</v>
      </c>
      <c r="E1663" s="27" t="s">
        <v>2258</v>
      </c>
      <c r="F1663" s="27"/>
    </row>
    <row r="1664" spans="1:6" x14ac:dyDescent="0.3">
      <c r="A1664" s="27" t="s">
        <v>2269</v>
      </c>
      <c r="B1664" s="27" t="s">
        <v>11</v>
      </c>
      <c r="C1664">
        <v>19.600000000000001</v>
      </c>
      <c r="D1664">
        <v>19.649999999999999</v>
      </c>
      <c r="E1664" s="27" t="s">
        <v>2267</v>
      </c>
      <c r="F1664" s="27"/>
    </row>
    <row r="1665" spans="1:6" x14ac:dyDescent="0.3">
      <c r="A1665" s="27" t="s">
        <v>2268</v>
      </c>
      <c r="B1665" s="27" t="s">
        <v>33</v>
      </c>
      <c r="C1665">
        <v>3.81</v>
      </c>
      <c r="D1665">
        <v>3.82</v>
      </c>
      <c r="E1665" s="27" t="s">
        <v>2267</v>
      </c>
      <c r="F1665" s="27"/>
    </row>
    <row r="1666" spans="1:6" x14ac:dyDescent="0.3">
      <c r="A1666" s="27" t="s">
        <v>2274</v>
      </c>
      <c r="B1666" s="27" t="s">
        <v>11</v>
      </c>
      <c r="C1666">
        <v>1866.65</v>
      </c>
      <c r="D1666">
        <v>1871.35</v>
      </c>
      <c r="E1666" s="27" t="s">
        <v>2272</v>
      </c>
      <c r="F1666" s="27"/>
    </row>
    <row r="1667" spans="1:6" x14ac:dyDescent="0.3">
      <c r="A1667" s="27" t="s">
        <v>2277</v>
      </c>
      <c r="B1667" s="27" t="s">
        <v>11</v>
      </c>
      <c r="C1667">
        <v>20.2</v>
      </c>
      <c r="D1667">
        <v>20.25</v>
      </c>
      <c r="E1667" s="27" t="s">
        <v>2272</v>
      </c>
      <c r="F1667" s="27"/>
    </row>
    <row r="1668" spans="1:6" x14ac:dyDescent="0.3">
      <c r="A1668" s="27" t="s">
        <v>2273</v>
      </c>
      <c r="B1668" s="27" t="s">
        <v>11</v>
      </c>
      <c r="C1668">
        <v>79.95</v>
      </c>
      <c r="D1668">
        <v>80.150000000000006</v>
      </c>
      <c r="E1668" s="27" t="s">
        <v>2272</v>
      </c>
      <c r="F1668" s="27"/>
    </row>
    <row r="1669" spans="1:6" x14ac:dyDescent="0.3">
      <c r="A1669" s="27" t="s">
        <v>2271</v>
      </c>
      <c r="B1669" s="27" t="s">
        <v>10</v>
      </c>
      <c r="C1669">
        <v>337.1</v>
      </c>
      <c r="D1669">
        <v>337.95</v>
      </c>
      <c r="E1669" s="27" t="s">
        <v>2272</v>
      </c>
      <c r="F1669" s="27"/>
    </row>
    <row r="1670" spans="1:6" x14ac:dyDescent="0.3">
      <c r="A1670" s="27" t="s">
        <v>2375</v>
      </c>
      <c r="B1670" s="27" t="s">
        <v>10</v>
      </c>
      <c r="C1670">
        <v>733.6</v>
      </c>
      <c r="D1670">
        <v>735.45</v>
      </c>
      <c r="E1670" s="27" t="s">
        <v>2272</v>
      </c>
      <c r="F1670" s="27"/>
    </row>
    <row r="1671" spans="1:6" x14ac:dyDescent="0.3">
      <c r="A1671" s="27" t="s">
        <v>2276</v>
      </c>
      <c r="B1671" s="27" t="s">
        <v>33</v>
      </c>
      <c r="C1671">
        <v>39.85</v>
      </c>
      <c r="D1671">
        <v>39.950000000000003</v>
      </c>
      <c r="E1671" s="27" t="s">
        <v>2272</v>
      </c>
      <c r="F1671" s="27"/>
    </row>
    <row r="1672" spans="1:6" x14ac:dyDescent="0.3">
      <c r="A1672" s="27" t="s">
        <v>3378</v>
      </c>
      <c r="B1672" s="27" t="s">
        <v>33</v>
      </c>
      <c r="C1672">
        <v>4.1500000000000004</v>
      </c>
      <c r="D1672">
        <v>4.16</v>
      </c>
      <c r="E1672" s="27" t="s">
        <v>2281</v>
      </c>
      <c r="F1672" s="27"/>
    </row>
    <row r="1673" spans="1:6" x14ac:dyDescent="0.3">
      <c r="A1673" s="27" t="s">
        <v>2280</v>
      </c>
      <c r="B1673" s="27" t="s">
        <v>10</v>
      </c>
      <c r="C1673">
        <v>645.6</v>
      </c>
      <c r="D1673">
        <v>647.15</v>
      </c>
      <c r="E1673" s="27" t="s">
        <v>2281</v>
      </c>
      <c r="F1673" s="27"/>
    </row>
    <row r="1674" spans="1:6" x14ac:dyDescent="0.3">
      <c r="A1674" s="27" t="s">
        <v>2284</v>
      </c>
      <c r="B1674" s="27" t="s">
        <v>29</v>
      </c>
      <c r="C1674">
        <v>103</v>
      </c>
      <c r="D1674">
        <v>103.25</v>
      </c>
      <c r="E1674" s="27" t="s">
        <v>2281</v>
      </c>
      <c r="F1674" s="27"/>
    </row>
    <row r="1675" spans="1:6" x14ac:dyDescent="0.3">
      <c r="A1675" s="27" t="s">
        <v>2285</v>
      </c>
      <c r="B1675" s="27" t="s">
        <v>29</v>
      </c>
      <c r="C1675">
        <v>41.4</v>
      </c>
      <c r="D1675">
        <v>41.5</v>
      </c>
      <c r="E1675" s="27" t="s">
        <v>2281</v>
      </c>
      <c r="F1675" s="27"/>
    </row>
    <row r="1676" spans="1:6" x14ac:dyDescent="0.3">
      <c r="A1676" s="27" t="s">
        <v>2286</v>
      </c>
      <c r="B1676" s="27" t="s">
        <v>11</v>
      </c>
      <c r="C1676">
        <v>42.5</v>
      </c>
      <c r="D1676">
        <v>42.6</v>
      </c>
      <c r="E1676" s="27" t="s">
        <v>2281</v>
      </c>
      <c r="F1676" s="27"/>
    </row>
    <row r="1677" spans="1:6" x14ac:dyDescent="0.3">
      <c r="A1677" s="27" t="s">
        <v>2289</v>
      </c>
      <c r="B1677" s="27" t="s">
        <v>11</v>
      </c>
      <c r="C1677">
        <v>834.05</v>
      </c>
      <c r="D1677">
        <v>836</v>
      </c>
      <c r="E1677" s="27" t="s">
        <v>2288</v>
      </c>
      <c r="F1677" s="27"/>
    </row>
    <row r="1678" spans="1:6" x14ac:dyDescent="0.3">
      <c r="A1678" s="27" t="s">
        <v>2290</v>
      </c>
      <c r="B1678" s="27" t="s">
        <v>33</v>
      </c>
      <c r="C1678">
        <v>483.9</v>
      </c>
      <c r="D1678">
        <v>485</v>
      </c>
      <c r="E1678" s="27" t="s">
        <v>2288</v>
      </c>
      <c r="F1678" s="27"/>
    </row>
    <row r="1679" spans="1:6" x14ac:dyDescent="0.3">
      <c r="A1679" s="27" t="s">
        <v>3379</v>
      </c>
      <c r="B1679" s="27" t="s">
        <v>328</v>
      </c>
      <c r="C1679">
        <v>21.75</v>
      </c>
      <c r="D1679">
        <v>21.8</v>
      </c>
      <c r="E1679" s="27" t="s">
        <v>2288</v>
      </c>
      <c r="F1679" s="27"/>
    </row>
    <row r="1680" spans="1:6" x14ac:dyDescent="0.3">
      <c r="A1680" s="27" t="s">
        <v>2293</v>
      </c>
      <c r="B1680" s="27" t="s">
        <v>328</v>
      </c>
      <c r="C1680">
        <v>42.9</v>
      </c>
      <c r="D1680">
        <v>43</v>
      </c>
      <c r="E1680" s="27" t="s">
        <v>2288</v>
      </c>
      <c r="F1680" s="27"/>
    </row>
    <row r="1681" spans="1:6" x14ac:dyDescent="0.3">
      <c r="A1681" s="27" t="s">
        <v>2294</v>
      </c>
      <c r="B1681" s="27" t="s">
        <v>33</v>
      </c>
      <c r="C1681">
        <v>86.8</v>
      </c>
      <c r="D1681">
        <v>87</v>
      </c>
      <c r="E1681" s="27" t="s">
        <v>2288</v>
      </c>
      <c r="F1681" s="27"/>
    </row>
    <row r="1682" spans="1:6" x14ac:dyDescent="0.3">
      <c r="A1682" s="27" t="s">
        <v>2374</v>
      </c>
      <c r="B1682" s="27" t="s">
        <v>10</v>
      </c>
      <c r="C1682">
        <v>577.75</v>
      </c>
      <c r="D1682">
        <v>579.1</v>
      </c>
      <c r="E1682" s="27" t="s">
        <v>2288</v>
      </c>
      <c r="F1682" s="27"/>
    </row>
    <row r="1683" spans="1:6" x14ac:dyDescent="0.3">
      <c r="A1683" s="27" t="s">
        <v>2292</v>
      </c>
      <c r="B1683" s="27" t="s">
        <v>11</v>
      </c>
      <c r="C1683">
        <v>66.099999999999994</v>
      </c>
      <c r="D1683">
        <v>66.25</v>
      </c>
      <c r="E1683" s="27" t="s">
        <v>2288</v>
      </c>
      <c r="F1683" s="27"/>
    </row>
    <row r="1684" spans="1:6" x14ac:dyDescent="0.3">
      <c r="A1684" s="27" t="s">
        <v>2300</v>
      </c>
      <c r="B1684" s="27" t="s">
        <v>10</v>
      </c>
      <c r="C1684">
        <v>295.85000000000002</v>
      </c>
      <c r="D1684">
        <v>296.5</v>
      </c>
      <c r="E1684" s="27" t="s">
        <v>2296</v>
      </c>
      <c r="F1684" s="27"/>
    </row>
    <row r="1685" spans="1:6" x14ac:dyDescent="0.3">
      <c r="A1685" s="27" t="s">
        <v>2297</v>
      </c>
      <c r="B1685" s="27" t="s">
        <v>10</v>
      </c>
      <c r="C1685">
        <v>2274.9</v>
      </c>
      <c r="D1685">
        <v>2280</v>
      </c>
      <c r="E1685" s="27" t="s">
        <v>2296</v>
      </c>
      <c r="F1685" s="27"/>
    </row>
    <row r="1686" spans="1:6" x14ac:dyDescent="0.3">
      <c r="A1686" s="27" t="s">
        <v>2295</v>
      </c>
      <c r="B1686" s="27" t="s">
        <v>10</v>
      </c>
      <c r="C1686">
        <v>112.9</v>
      </c>
      <c r="D1686">
        <v>113.15</v>
      </c>
      <c r="E1686" s="27" t="s">
        <v>2296</v>
      </c>
      <c r="F1686" s="27"/>
    </row>
    <row r="1687" spans="1:6" x14ac:dyDescent="0.3">
      <c r="A1687" s="27" t="s">
        <v>2251</v>
      </c>
      <c r="B1687" s="27" t="s">
        <v>10</v>
      </c>
      <c r="C1687">
        <v>289.55</v>
      </c>
      <c r="D1687">
        <v>290.14999999999998</v>
      </c>
      <c r="E1687" s="27" t="s">
        <v>2303</v>
      </c>
      <c r="F1687" s="27"/>
    </row>
    <row r="1688" spans="1:6" x14ac:dyDescent="0.3">
      <c r="A1688" s="27" t="s">
        <v>2302</v>
      </c>
      <c r="B1688" s="27" t="s">
        <v>11</v>
      </c>
      <c r="C1688">
        <v>240</v>
      </c>
      <c r="D1688">
        <v>240.5</v>
      </c>
      <c r="E1688" s="27" t="s">
        <v>2303</v>
      </c>
      <c r="F1688" s="27"/>
    </row>
    <row r="1689" spans="1:6" x14ac:dyDescent="0.3">
      <c r="A1689" s="27" t="s">
        <v>2306</v>
      </c>
      <c r="B1689" s="27" t="s">
        <v>33</v>
      </c>
      <c r="C1689">
        <v>14.38</v>
      </c>
      <c r="D1689">
        <v>14.41</v>
      </c>
      <c r="E1689" s="27" t="s">
        <v>2303</v>
      </c>
      <c r="F1689" s="27"/>
    </row>
    <row r="1690" spans="1:6" x14ac:dyDescent="0.3">
      <c r="A1690" s="27" t="s">
        <v>2305</v>
      </c>
      <c r="B1690" s="27" t="s">
        <v>11</v>
      </c>
      <c r="C1690">
        <v>47.05</v>
      </c>
      <c r="D1690">
        <v>47.15</v>
      </c>
      <c r="E1690" s="27" t="s">
        <v>2303</v>
      </c>
      <c r="F1690" s="27"/>
    </row>
    <row r="1691" spans="1:6" x14ac:dyDescent="0.3">
      <c r="A1691" s="27" t="s">
        <v>2313</v>
      </c>
      <c r="B1691" s="27" t="s">
        <v>10</v>
      </c>
      <c r="C1691">
        <v>1069.3</v>
      </c>
      <c r="D1691">
        <v>1071.45</v>
      </c>
      <c r="E1691" s="27" t="s">
        <v>2308</v>
      </c>
      <c r="F1691" s="27"/>
    </row>
    <row r="1692" spans="1:6" x14ac:dyDescent="0.3">
      <c r="A1692" s="27" t="s">
        <v>2311</v>
      </c>
      <c r="B1692" s="27" t="s">
        <v>11</v>
      </c>
      <c r="C1692">
        <v>204.3</v>
      </c>
      <c r="D1692">
        <v>204.7</v>
      </c>
      <c r="E1692" s="27" t="s">
        <v>2308</v>
      </c>
      <c r="F1692" s="27"/>
    </row>
    <row r="1693" spans="1:6" x14ac:dyDescent="0.3">
      <c r="A1693" s="27" t="s">
        <v>2307</v>
      </c>
      <c r="B1693" s="27" t="s">
        <v>33</v>
      </c>
      <c r="C1693">
        <v>25.6</v>
      </c>
      <c r="D1693">
        <v>25.65</v>
      </c>
      <c r="E1693" s="27" t="s">
        <v>2308</v>
      </c>
      <c r="F1693" s="27"/>
    </row>
    <row r="1694" spans="1:6" x14ac:dyDescent="0.3">
      <c r="A1694" s="27" t="s">
        <v>2316</v>
      </c>
      <c r="B1694" s="27" t="s">
        <v>11</v>
      </c>
      <c r="C1694">
        <v>835.4</v>
      </c>
      <c r="D1694">
        <v>837</v>
      </c>
      <c r="E1694" s="27" t="s">
        <v>2315</v>
      </c>
      <c r="F1694" s="27"/>
    </row>
    <row r="1695" spans="1:6" x14ac:dyDescent="0.3">
      <c r="A1695" s="27" t="s">
        <v>2366</v>
      </c>
      <c r="B1695" s="27" t="s">
        <v>10</v>
      </c>
      <c r="C1695">
        <v>322.64999999999998</v>
      </c>
      <c r="D1695">
        <v>323.25</v>
      </c>
      <c r="E1695" s="27" t="s">
        <v>2315</v>
      </c>
      <c r="F1695" s="27"/>
    </row>
    <row r="1696" spans="1:6" x14ac:dyDescent="0.3">
      <c r="A1696" s="27" t="s">
        <v>2365</v>
      </c>
      <c r="B1696" s="27" t="s">
        <v>10</v>
      </c>
      <c r="C1696">
        <v>256.5</v>
      </c>
      <c r="D1696">
        <v>257</v>
      </c>
      <c r="E1696" s="27" t="s">
        <v>2315</v>
      </c>
      <c r="F1696" s="27"/>
    </row>
    <row r="1697" spans="1:6" x14ac:dyDescent="0.3">
      <c r="A1697" s="27" t="s">
        <v>2317</v>
      </c>
      <c r="B1697" s="27" t="s">
        <v>10</v>
      </c>
      <c r="C1697">
        <v>336.95</v>
      </c>
      <c r="D1697">
        <v>337.6</v>
      </c>
      <c r="E1697" s="27" t="s">
        <v>2315</v>
      </c>
      <c r="F1697" s="27"/>
    </row>
    <row r="1698" spans="1:6" x14ac:dyDescent="0.3">
      <c r="A1698" s="27" t="s">
        <v>2314</v>
      </c>
      <c r="B1698" s="27" t="s">
        <v>10</v>
      </c>
      <c r="C1698">
        <v>634.4</v>
      </c>
      <c r="D1698">
        <v>635.6</v>
      </c>
      <c r="E1698" s="27" t="s">
        <v>2315</v>
      </c>
      <c r="F1698" s="27"/>
    </row>
    <row r="1699" spans="1:6" x14ac:dyDescent="0.3">
      <c r="A1699" s="27" t="s">
        <v>2155</v>
      </c>
      <c r="B1699" s="27" t="s">
        <v>11</v>
      </c>
      <c r="C1699">
        <v>196.8</v>
      </c>
      <c r="D1699">
        <v>197.15</v>
      </c>
      <c r="E1699" s="27" t="s">
        <v>2321</v>
      </c>
      <c r="F1699" s="27"/>
    </row>
    <row r="1700" spans="1:6" x14ac:dyDescent="0.3">
      <c r="A1700" s="27" t="s">
        <v>2322</v>
      </c>
      <c r="B1700" s="27" t="s">
        <v>10</v>
      </c>
      <c r="C1700">
        <v>477.95</v>
      </c>
      <c r="D1700">
        <v>478.8</v>
      </c>
      <c r="E1700" s="27" t="s">
        <v>2321</v>
      </c>
      <c r="F1700" s="27"/>
    </row>
    <row r="1701" spans="1:6" x14ac:dyDescent="0.3">
      <c r="A1701" s="27" t="s">
        <v>2147</v>
      </c>
      <c r="B1701" s="27" t="s">
        <v>33</v>
      </c>
      <c r="C1701">
        <v>165.7</v>
      </c>
      <c r="D1701">
        <v>166</v>
      </c>
      <c r="E1701" s="27" t="s">
        <v>2321</v>
      </c>
      <c r="F1701" s="27"/>
    </row>
    <row r="1702" spans="1:6" x14ac:dyDescent="0.3">
      <c r="A1702" s="27" t="s">
        <v>1963</v>
      </c>
      <c r="B1702" s="27" t="s">
        <v>11</v>
      </c>
      <c r="C1702">
        <v>139.75</v>
      </c>
      <c r="D1702">
        <v>140</v>
      </c>
      <c r="E1702" s="27" t="s">
        <v>2321</v>
      </c>
      <c r="F1702" s="27"/>
    </row>
    <row r="1703" spans="1:6" x14ac:dyDescent="0.3">
      <c r="A1703" s="27" t="s">
        <v>2353</v>
      </c>
      <c r="B1703" s="27" t="s">
        <v>10</v>
      </c>
      <c r="C1703">
        <v>959.5</v>
      </c>
      <c r="D1703">
        <v>961.15</v>
      </c>
      <c r="E1703" s="27" t="s">
        <v>2324</v>
      </c>
      <c r="F1703" s="27"/>
    </row>
    <row r="1704" spans="1:6" x14ac:dyDescent="0.3">
      <c r="A1704" s="27" t="s">
        <v>2327</v>
      </c>
      <c r="B1704" s="27" t="s">
        <v>33</v>
      </c>
      <c r="C1704">
        <v>5.84</v>
      </c>
      <c r="D1704">
        <v>5.85</v>
      </c>
      <c r="E1704" s="27" t="s">
        <v>2324</v>
      </c>
      <c r="F1704" s="27"/>
    </row>
    <row r="1705" spans="1:6" x14ac:dyDescent="0.3">
      <c r="A1705" s="27" t="s">
        <v>2328</v>
      </c>
      <c r="B1705" s="27" t="s">
        <v>11</v>
      </c>
      <c r="C1705">
        <v>1588.4</v>
      </c>
      <c r="D1705">
        <v>1591.15</v>
      </c>
      <c r="E1705" s="27" t="s">
        <v>2324</v>
      </c>
      <c r="F1705" s="27"/>
    </row>
    <row r="1706" spans="1:6" x14ac:dyDescent="0.3">
      <c r="A1706" s="27" t="s">
        <v>2329</v>
      </c>
      <c r="B1706" s="27" t="s">
        <v>33</v>
      </c>
      <c r="C1706">
        <v>4106.75</v>
      </c>
      <c r="D1706">
        <v>4113.5</v>
      </c>
      <c r="E1706" s="27" t="s">
        <v>2330</v>
      </c>
      <c r="F1706" s="27"/>
    </row>
    <row r="1707" spans="1:6" x14ac:dyDescent="0.3">
      <c r="A1707" s="27" t="s">
        <v>2325</v>
      </c>
      <c r="B1707" s="27" t="s">
        <v>10</v>
      </c>
      <c r="C1707">
        <v>1727.35</v>
      </c>
      <c r="D1707">
        <v>1730.2</v>
      </c>
      <c r="E1707" s="27" t="s">
        <v>2330</v>
      </c>
      <c r="F1707" s="27"/>
    </row>
    <row r="1708" spans="1:6" x14ac:dyDescent="0.3">
      <c r="A1708" s="27" t="s">
        <v>2333</v>
      </c>
      <c r="B1708" s="27" t="s">
        <v>10</v>
      </c>
      <c r="C1708">
        <v>96.75</v>
      </c>
      <c r="D1708">
        <v>96.9</v>
      </c>
      <c r="E1708" s="27" t="s">
        <v>2330</v>
      </c>
      <c r="F1708" s="27"/>
    </row>
    <row r="1709" spans="1:6" x14ac:dyDescent="0.3">
      <c r="A1709" s="27" t="s">
        <v>2331</v>
      </c>
      <c r="B1709" s="27" t="s">
        <v>328</v>
      </c>
      <c r="C1709">
        <v>62.7</v>
      </c>
      <c r="D1709">
        <v>62.8</v>
      </c>
      <c r="E1709" s="27" t="s">
        <v>2330</v>
      </c>
      <c r="F1709" s="27"/>
    </row>
    <row r="1710" spans="1:6" x14ac:dyDescent="0.3">
      <c r="A1710" s="27" t="s">
        <v>2332</v>
      </c>
      <c r="B1710" s="27" t="s">
        <v>328</v>
      </c>
      <c r="C1710">
        <v>31</v>
      </c>
      <c r="D1710">
        <v>31.05</v>
      </c>
      <c r="E1710" s="27" t="s">
        <v>2330</v>
      </c>
      <c r="F1710" s="27"/>
    </row>
    <row r="1711" spans="1:6" x14ac:dyDescent="0.3">
      <c r="A1711" s="27" t="s">
        <v>2334</v>
      </c>
      <c r="B1711" s="27" t="s">
        <v>11</v>
      </c>
      <c r="C1711">
        <v>64.7</v>
      </c>
      <c r="D1711">
        <v>64.8</v>
      </c>
      <c r="E1711" s="27" t="s">
        <v>2335</v>
      </c>
      <c r="F1711" s="27"/>
    </row>
    <row r="1712" spans="1:6" x14ac:dyDescent="0.3">
      <c r="A1712" s="27" t="s">
        <v>3380</v>
      </c>
      <c r="B1712" s="27" t="s">
        <v>33</v>
      </c>
      <c r="C1712">
        <v>492.25</v>
      </c>
      <c r="D1712">
        <v>493</v>
      </c>
      <c r="E1712" s="27" t="s">
        <v>2335</v>
      </c>
      <c r="F1712" s="27"/>
    </row>
    <row r="1713" spans="1:6" x14ac:dyDescent="0.3">
      <c r="A1713" s="27" t="s">
        <v>3381</v>
      </c>
      <c r="B1713" s="27" t="s">
        <v>11</v>
      </c>
      <c r="C1713">
        <v>36.4</v>
      </c>
      <c r="D1713">
        <v>36.450000000000003</v>
      </c>
      <c r="E1713" s="27" t="s">
        <v>2337</v>
      </c>
      <c r="F1713" s="27"/>
    </row>
    <row r="1714" spans="1:6" x14ac:dyDescent="0.3">
      <c r="A1714" s="27" t="s">
        <v>2225</v>
      </c>
      <c r="B1714" s="27" t="s">
        <v>33</v>
      </c>
      <c r="C1714">
        <v>73.900000000000006</v>
      </c>
      <c r="D1714">
        <v>74</v>
      </c>
      <c r="E1714" s="27" t="s">
        <v>2337</v>
      </c>
      <c r="F1714" s="27"/>
    </row>
    <row r="1715" spans="1:6" x14ac:dyDescent="0.3">
      <c r="A1715" s="27" t="s">
        <v>2338</v>
      </c>
      <c r="B1715" s="27" t="s">
        <v>11</v>
      </c>
      <c r="C1715">
        <v>7.02</v>
      </c>
      <c r="D1715">
        <v>7.03</v>
      </c>
      <c r="E1715" s="27" t="s">
        <v>2337</v>
      </c>
      <c r="F1715" s="27"/>
    </row>
    <row r="1716" spans="1:6" x14ac:dyDescent="0.3">
      <c r="A1716" s="27" t="s">
        <v>2336</v>
      </c>
      <c r="B1716" s="27" t="s">
        <v>10</v>
      </c>
      <c r="C1716">
        <v>1062.5</v>
      </c>
      <c r="D1716">
        <v>1063.95</v>
      </c>
      <c r="E1716" s="27" t="s">
        <v>2337</v>
      </c>
      <c r="F1716" s="27"/>
    </row>
    <row r="1717" spans="1:6" x14ac:dyDescent="0.3">
      <c r="A1717" s="27" t="s">
        <v>2005</v>
      </c>
      <c r="B1717" s="27" t="s">
        <v>11</v>
      </c>
      <c r="C1717">
        <v>39.75</v>
      </c>
      <c r="D1717">
        <v>39.799999999999997</v>
      </c>
      <c r="E1717" s="27" t="s">
        <v>2340</v>
      </c>
      <c r="F1717" s="27"/>
    </row>
    <row r="1718" spans="1:6" x14ac:dyDescent="0.3">
      <c r="A1718" s="27" t="s">
        <v>2063</v>
      </c>
      <c r="B1718" s="27" t="s">
        <v>33</v>
      </c>
      <c r="C1718">
        <v>399.5</v>
      </c>
      <c r="D1718">
        <v>400</v>
      </c>
      <c r="E1718" s="27" t="s">
        <v>2340</v>
      </c>
      <c r="F1718" s="27"/>
    </row>
    <row r="1719" spans="1:6" x14ac:dyDescent="0.3">
      <c r="A1719" s="27" t="s">
        <v>2309</v>
      </c>
      <c r="B1719" s="27" t="s">
        <v>10</v>
      </c>
      <c r="C1719">
        <v>3023.95</v>
      </c>
      <c r="D1719">
        <v>3027.85</v>
      </c>
      <c r="E1719" s="27" t="s">
        <v>2340</v>
      </c>
      <c r="F1719" s="27"/>
    </row>
    <row r="1720" spans="1:6" x14ac:dyDescent="0.3">
      <c r="A1720" s="27" t="s">
        <v>3382</v>
      </c>
      <c r="B1720" s="27" t="s">
        <v>11</v>
      </c>
      <c r="C1720">
        <v>519.35</v>
      </c>
      <c r="D1720">
        <v>520.04999999999995</v>
      </c>
      <c r="E1720" s="27" t="s">
        <v>2340</v>
      </c>
      <c r="F1720" s="27"/>
    </row>
    <row r="1721" spans="1:6" x14ac:dyDescent="0.3">
      <c r="A1721" s="27" t="s">
        <v>2344</v>
      </c>
      <c r="B1721" s="27" t="s">
        <v>11</v>
      </c>
      <c r="C1721">
        <v>117.85</v>
      </c>
      <c r="D1721">
        <v>118</v>
      </c>
      <c r="E1721" s="27" t="s">
        <v>2340</v>
      </c>
      <c r="F1721" s="27"/>
    </row>
    <row r="1722" spans="1:6" x14ac:dyDescent="0.3">
      <c r="A1722" s="27" t="s">
        <v>2341</v>
      </c>
      <c r="B1722" s="27" t="s">
        <v>10</v>
      </c>
      <c r="C1722">
        <v>634</v>
      </c>
      <c r="D1722">
        <v>634.85</v>
      </c>
      <c r="E1722" s="27" t="s">
        <v>2340</v>
      </c>
      <c r="F1722" s="27"/>
    </row>
    <row r="1723" spans="1:6" x14ac:dyDescent="0.3">
      <c r="A1723" s="27" t="s">
        <v>2348</v>
      </c>
      <c r="B1723" s="27" t="s">
        <v>10</v>
      </c>
      <c r="C1723">
        <v>369.55</v>
      </c>
      <c r="D1723">
        <v>370</v>
      </c>
      <c r="E1723" s="27" t="s">
        <v>2346</v>
      </c>
      <c r="F1723" s="27"/>
    </row>
    <row r="1724" spans="1:6" x14ac:dyDescent="0.3">
      <c r="A1724" s="27" t="s">
        <v>2351</v>
      </c>
      <c r="B1724" s="27" t="s">
        <v>33</v>
      </c>
      <c r="C1724">
        <v>8.14</v>
      </c>
      <c r="D1724">
        <v>8.15</v>
      </c>
      <c r="E1724" s="27" t="s">
        <v>2346</v>
      </c>
      <c r="F1724" s="27"/>
    </row>
    <row r="1725" spans="1:6" x14ac:dyDescent="0.3">
      <c r="A1725" s="27" t="s">
        <v>2345</v>
      </c>
      <c r="B1725" s="27" t="s">
        <v>33</v>
      </c>
      <c r="C1725">
        <v>241.95</v>
      </c>
      <c r="D1725">
        <v>242.25</v>
      </c>
      <c r="E1725" s="27" t="s">
        <v>2346</v>
      </c>
      <c r="F1725" s="27"/>
    </row>
    <row r="1726" spans="1:6" x14ac:dyDescent="0.3">
      <c r="A1726" s="27" t="s">
        <v>2352</v>
      </c>
      <c r="B1726" s="27" t="s">
        <v>10</v>
      </c>
      <c r="C1726">
        <v>43.15</v>
      </c>
      <c r="D1726">
        <v>43.2</v>
      </c>
      <c r="E1726" s="27" t="s">
        <v>2346</v>
      </c>
      <c r="F1726" s="27"/>
    </row>
    <row r="1727" spans="1:6" x14ac:dyDescent="0.3">
      <c r="A1727" s="27" t="s">
        <v>2355</v>
      </c>
      <c r="B1727" s="27" t="s">
        <v>10</v>
      </c>
      <c r="C1727">
        <v>1048.2</v>
      </c>
      <c r="D1727">
        <v>1049.3499999999999</v>
      </c>
      <c r="E1727" s="27" t="s">
        <v>2354</v>
      </c>
      <c r="F1727" s="27"/>
    </row>
    <row r="1728" spans="1:6" x14ac:dyDescent="0.3">
      <c r="A1728" s="27" t="s">
        <v>2356</v>
      </c>
      <c r="B1728" s="27" t="s">
        <v>11</v>
      </c>
      <c r="C1728">
        <v>178.9</v>
      </c>
      <c r="D1728">
        <v>179.1</v>
      </c>
      <c r="E1728" s="27" t="s">
        <v>2354</v>
      </c>
      <c r="F1728" s="27"/>
    </row>
    <row r="1729" spans="1:6" x14ac:dyDescent="0.3">
      <c r="A1729" s="27" t="s">
        <v>2299</v>
      </c>
      <c r="B1729" s="27" t="s">
        <v>10</v>
      </c>
      <c r="C1729">
        <v>1438.1</v>
      </c>
      <c r="D1729">
        <v>1439.6</v>
      </c>
      <c r="E1729" s="27" t="s">
        <v>2357</v>
      </c>
      <c r="F1729" s="27"/>
    </row>
    <row r="1730" spans="1:6" x14ac:dyDescent="0.3">
      <c r="A1730" s="27" t="s">
        <v>2359</v>
      </c>
      <c r="B1730" s="27" t="s">
        <v>33</v>
      </c>
      <c r="C1730">
        <v>57</v>
      </c>
      <c r="D1730">
        <v>57.05</v>
      </c>
      <c r="E1730" s="27" t="s">
        <v>2360</v>
      </c>
      <c r="F1730" s="27"/>
    </row>
    <row r="1731" spans="1:6" x14ac:dyDescent="0.3">
      <c r="A1731" s="27" t="s">
        <v>2364</v>
      </c>
      <c r="B1731" s="27" t="s">
        <v>33</v>
      </c>
      <c r="C1731">
        <v>185.1</v>
      </c>
      <c r="D1731">
        <v>185.25</v>
      </c>
      <c r="E1731" s="27" t="s">
        <v>2362</v>
      </c>
      <c r="F1731" s="27"/>
    </row>
    <row r="1732" spans="1:6" x14ac:dyDescent="0.3">
      <c r="A1732" s="27" t="s">
        <v>2361</v>
      </c>
      <c r="B1732" s="27" t="s">
        <v>10</v>
      </c>
      <c r="C1732">
        <v>1923.8</v>
      </c>
      <c r="D1732">
        <v>1925.35</v>
      </c>
      <c r="E1732" s="27" t="s">
        <v>2362</v>
      </c>
      <c r="F1732" s="27"/>
    </row>
    <row r="1733" spans="1:6" x14ac:dyDescent="0.3">
      <c r="A1733" s="27" t="s">
        <v>2369</v>
      </c>
      <c r="B1733" s="27" t="s">
        <v>33</v>
      </c>
      <c r="C1733">
        <v>178.45</v>
      </c>
      <c r="D1733">
        <v>178.6</v>
      </c>
      <c r="E1733" s="27" t="s">
        <v>2362</v>
      </c>
      <c r="F1733" s="27"/>
    </row>
    <row r="1734" spans="1:6" x14ac:dyDescent="0.3">
      <c r="A1734" s="27" t="s">
        <v>2367</v>
      </c>
      <c r="B1734" s="27" t="s">
        <v>33</v>
      </c>
      <c r="C1734">
        <v>12.17</v>
      </c>
      <c r="D1734">
        <v>12.18</v>
      </c>
      <c r="E1734" s="27" t="s">
        <v>2362</v>
      </c>
      <c r="F1734" s="27"/>
    </row>
    <row r="1735" spans="1:6" x14ac:dyDescent="0.3">
      <c r="A1735" s="27" t="s">
        <v>2363</v>
      </c>
      <c r="B1735" s="27" t="s">
        <v>33</v>
      </c>
      <c r="C1735">
        <v>60.65</v>
      </c>
      <c r="D1735">
        <v>60.7</v>
      </c>
      <c r="E1735" s="27" t="s">
        <v>2362</v>
      </c>
      <c r="F1735" s="27"/>
    </row>
    <row r="1736" spans="1:6" x14ac:dyDescent="0.3">
      <c r="A1736" s="27" t="s">
        <v>2370</v>
      </c>
      <c r="B1736" s="27" t="s">
        <v>11</v>
      </c>
      <c r="C1736">
        <v>404.85</v>
      </c>
      <c r="D1736">
        <v>405.15</v>
      </c>
      <c r="E1736" s="27" t="s">
        <v>2371</v>
      </c>
      <c r="F1736" s="27"/>
    </row>
    <row r="1737" spans="1:6" x14ac:dyDescent="0.3">
      <c r="A1737" s="27" t="s">
        <v>2376</v>
      </c>
      <c r="B1737" s="27" t="s">
        <v>33</v>
      </c>
      <c r="C1737">
        <v>1049.4000000000001</v>
      </c>
      <c r="D1737">
        <v>1050</v>
      </c>
      <c r="E1737" s="27" t="s">
        <v>2377</v>
      </c>
      <c r="F1737" s="27"/>
    </row>
    <row r="1738" spans="1:6" x14ac:dyDescent="0.3">
      <c r="A1738" s="27" t="s">
        <v>2372</v>
      </c>
      <c r="B1738" s="27" t="s">
        <v>10</v>
      </c>
      <c r="C1738">
        <v>415.7</v>
      </c>
      <c r="D1738">
        <v>415.95</v>
      </c>
      <c r="E1738" s="27" t="s">
        <v>2377</v>
      </c>
      <c r="F1738" s="27"/>
    </row>
    <row r="1739" spans="1:6" x14ac:dyDescent="0.3">
      <c r="A1739" s="27" t="s">
        <v>2126</v>
      </c>
      <c r="B1739" s="27" t="s">
        <v>10</v>
      </c>
      <c r="C1739">
        <v>709.05</v>
      </c>
      <c r="D1739">
        <v>709.5</v>
      </c>
      <c r="E1739" s="27" t="s">
        <v>2377</v>
      </c>
      <c r="F1739" s="27"/>
    </row>
    <row r="1740" spans="1:6" x14ac:dyDescent="0.3">
      <c r="A1740" s="27" t="s">
        <v>2347</v>
      </c>
      <c r="B1740" s="27" t="s">
        <v>10</v>
      </c>
      <c r="C1740">
        <v>942</v>
      </c>
      <c r="D1740">
        <v>942.45</v>
      </c>
      <c r="E1740" s="27" t="s">
        <v>2379</v>
      </c>
      <c r="F1740" s="27"/>
    </row>
    <row r="1741" spans="1:6" x14ac:dyDescent="0.3">
      <c r="A1741" s="27" t="s">
        <v>2279</v>
      </c>
      <c r="B1741" s="27" t="s">
        <v>10</v>
      </c>
      <c r="C1741">
        <v>426.9</v>
      </c>
      <c r="D1741">
        <v>427.1</v>
      </c>
      <c r="E1741" s="27" t="s">
        <v>2379</v>
      </c>
      <c r="F1741" s="27"/>
    </row>
    <row r="1742" spans="1:6" x14ac:dyDescent="0.3">
      <c r="A1742" s="27" t="s">
        <v>2381</v>
      </c>
      <c r="B1742" s="27" t="s">
        <v>328</v>
      </c>
      <c r="C1742">
        <v>98</v>
      </c>
      <c r="D1742">
        <v>98.05</v>
      </c>
      <c r="E1742" s="27" t="s">
        <v>2379</v>
      </c>
      <c r="F1742" s="27"/>
    </row>
    <row r="1743" spans="1:6" x14ac:dyDescent="0.3">
      <c r="A1743" s="27" t="s">
        <v>2378</v>
      </c>
      <c r="B1743" s="27" t="s">
        <v>33</v>
      </c>
      <c r="C1743">
        <v>91.7</v>
      </c>
      <c r="D1743">
        <v>91.75</v>
      </c>
      <c r="E1743" s="27" t="s">
        <v>2379</v>
      </c>
      <c r="F1743" s="27"/>
    </row>
    <row r="1744" spans="1:6" x14ac:dyDescent="0.3">
      <c r="A1744" s="27" t="s">
        <v>2383</v>
      </c>
      <c r="B1744" s="27" t="s">
        <v>33</v>
      </c>
      <c r="C1744">
        <v>212.4</v>
      </c>
      <c r="D1744">
        <v>212.5</v>
      </c>
      <c r="E1744" s="27" t="s">
        <v>2379</v>
      </c>
      <c r="F1744" s="27"/>
    </row>
    <row r="1745" spans="1:6" x14ac:dyDescent="0.3">
      <c r="A1745" s="27" t="s">
        <v>2382</v>
      </c>
      <c r="B1745" s="27" t="s">
        <v>33</v>
      </c>
      <c r="C1745">
        <v>386.8</v>
      </c>
      <c r="D1745">
        <v>387</v>
      </c>
      <c r="E1745" s="27" t="s">
        <v>2379</v>
      </c>
      <c r="F1745" s="27"/>
    </row>
    <row r="1746" spans="1:6" x14ac:dyDescent="0.3">
      <c r="A1746" s="27" t="s">
        <v>2291</v>
      </c>
      <c r="B1746" s="27" t="s">
        <v>10</v>
      </c>
      <c r="C1746">
        <v>354.05</v>
      </c>
      <c r="D1746">
        <v>354.2</v>
      </c>
      <c r="E1746" s="27" t="s">
        <v>2385</v>
      </c>
      <c r="F1746" s="27"/>
    </row>
    <row r="1747" spans="1:6" x14ac:dyDescent="0.3">
      <c r="A1747" s="27" t="s">
        <v>2349</v>
      </c>
      <c r="B1747" s="27" t="s">
        <v>10</v>
      </c>
      <c r="C1747">
        <v>727.75</v>
      </c>
      <c r="D1747">
        <v>728.05</v>
      </c>
      <c r="E1747" s="27" t="s">
        <v>2385</v>
      </c>
      <c r="F1747" s="27"/>
    </row>
    <row r="1748" spans="1:6" x14ac:dyDescent="0.3">
      <c r="A1748" s="27" t="s">
        <v>2384</v>
      </c>
      <c r="B1748" s="27" t="s">
        <v>11</v>
      </c>
      <c r="C1748">
        <v>134.80000000000001</v>
      </c>
      <c r="D1748">
        <v>134.85</v>
      </c>
      <c r="E1748" s="27" t="s">
        <v>2385</v>
      </c>
      <c r="F1748" s="27"/>
    </row>
    <row r="1749" spans="1:6" x14ac:dyDescent="0.3">
      <c r="A1749" s="27" t="s">
        <v>2326</v>
      </c>
      <c r="B1749" s="27" t="s">
        <v>10</v>
      </c>
      <c r="C1749">
        <v>1289.75</v>
      </c>
      <c r="D1749">
        <v>1290.0999999999999</v>
      </c>
      <c r="E1749" s="27" t="s">
        <v>3383</v>
      </c>
      <c r="F1749" s="27"/>
    </row>
    <row r="1750" spans="1:6" x14ac:dyDescent="0.3">
      <c r="A1750" s="27" t="s">
        <v>2387</v>
      </c>
      <c r="B1750" s="27" t="s">
        <v>10</v>
      </c>
      <c r="C1750">
        <v>237.75</v>
      </c>
      <c r="D1750">
        <v>237.8</v>
      </c>
      <c r="E1750" s="27" t="s">
        <v>2388</v>
      </c>
      <c r="F1750" s="27"/>
    </row>
    <row r="1751" spans="1:6" x14ac:dyDescent="0.3">
      <c r="A1751" s="27" t="s">
        <v>2373</v>
      </c>
      <c r="B1751" s="27" t="s">
        <v>10</v>
      </c>
      <c r="C1751">
        <v>4310.45</v>
      </c>
      <c r="D1751">
        <v>4310.5</v>
      </c>
      <c r="E1751" s="27" t="s">
        <v>3384</v>
      </c>
      <c r="F1751" s="27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549BA-DBFA-4D6E-A7B0-A4D55D8F5640}">
  <dimension ref="A1:H924"/>
  <sheetViews>
    <sheetView tabSelected="1" workbookViewId="0">
      <selection activeCell="G12" sqref="G12"/>
    </sheetView>
  </sheetViews>
  <sheetFormatPr defaultRowHeight="15.6" x14ac:dyDescent="0.3"/>
  <cols>
    <col min="1" max="1" width="21.296875" bestFit="1" customWidth="1"/>
    <col min="2" max="2" width="8.19921875" bestFit="1" customWidth="1"/>
    <col min="3" max="3" width="15.296875" bestFit="1" customWidth="1"/>
    <col min="4" max="4" width="17.59765625" bestFit="1" customWidth="1"/>
    <col min="5" max="5" width="11.09765625" bestFit="1" customWidth="1"/>
  </cols>
  <sheetData>
    <row r="1" spans="1:8" x14ac:dyDescent="0.3">
      <c r="A1" t="s">
        <v>164</v>
      </c>
      <c r="B1" t="s">
        <v>165</v>
      </c>
      <c r="C1" t="s">
        <v>166</v>
      </c>
      <c r="D1" t="s">
        <v>167</v>
      </c>
      <c r="E1" t="s">
        <v>168</v>
      </c>
    </row>
    <row r="2" spans="1:8" x14ac:dyDescent="0.3">
      <c r="A2" s="27" t="s">
        <v>2390</v>
      </c>
      <c r="B2" s="27" t="s">
        <v>10</v>
      </c>
      <c r="C2">
        <v>1026.2</v>
      </c>
      <c r="D2">
        <v>911.95</v>
      </c>
      <c r="E2">
        <v>-11.13</v>
      </c>
      <c r="H2" s="69" t="s">
        <v>2390</v>
      </c>
    </row>
    <row r="3" spans="1:8" x14ac:dyDescent="0.3">
      <c r="A3" s="27" t="s">
        <v>2391</v>
      </c>
      <c r="B3" s="27" t="s">
        <v>33</v>
      </c>
      <c r="C3">
        <v>35.35</v>
      </c>
      <c r="D3">
        <v>32.25</v>
      </c>
      <c r="E3">
        <v>-8.77</v>
      </c>
      <c r="H3" s="70" t="s">
        <v>2391</v>
      </c>
    </row>
    <row r="4" spans="1:8" x14ac:dyDescent="0.3">
      <c r="A4" s="27" t="s">
        <v>2392</v>
      </c>
      <c r="B4" s="27" t="s">
        <v>11</v>
      </c>
      <c r="C4">
        <v>127.5</v>
      </c>
      <c r="D4">
        <v>116.8</v>
      </c>
      <c r="E4">
        <v>-8.39</v>
      </c>
      <c r="H4" s="69" t="s">
        <v>2392</v>
      </c>
    </row>
    <row r="5" spans="1:8" x14ac:dyDescent="0.3">
      <c r="A5" s="27" t="s">
        <v>2393</v>
      </c>
      <c r="B5" s="27" t="s">
        <v>33</v>
      </c>
      <c r="C5">
        <v>6.97</v>
      </c>
      <c r="D5">
        <v>6.45</v>
      </c>
      <c r="E5">
        <v>-7.46</v>
      </c>
      <c r="H5" s="70" t="s">
        <v>2393</v>
      </c>
    </row>
    <row r="6" spans="1:8" x14ac:dyDescent="0.3">
      <c r="A6" s="27" t="s">
        <v>2394</v>
      </c>
      <c r="B6" s="27" t="s">
        <v>22</v>
      </c>
      <c r="C6">
        <v>4.2</v>
      </c>
      <c r="D6">
        <v>3.9</v>
      </c>
      <c r="E6">
        <v>-7.14</v>
      </c>
      <c r="H6" s="69" t="s">
        <v>2394</v>
      </c>
    </row>
    <row r="7" spans="1:8" x14ac:dyDescent="0.3">
      <c r="A7" s="27" t="s">
        <v>2395</v>
      </c>
      <c r="B7" s="27" t="s">
        <v>11</v>
      </c>
      <c r="C7">
        <v>695.2</v>
      </c>
      <c r="D7">
        <v>652</v>
      </c>
      <c r="E7">
        <v>-6.21</v>
      </c>
    </row>
    <row r="8" spans="1:8" x14ac:dyDescent="0.3">
      <c r="A8" s="27" t="s">
        <v>2396</v>
      </c>
      <c r="B8" s="27" t="s">
        <v>33</v>
      </c>
      <c r="C8">
        <v>351.6</v>
      </c>
      <c r="D8">
        <v>330</v>
      </c>
      <c r="E8">
        <v>-6.14</v>
      </c>
    </row>
    <row r="9" spans="1:8" x14ac:dyDescent="0.3">
      <c r="A9" s="27" t="s">
        <v>2397</v>
      </c>
      <c r="B9" s="27" t="s">
        <v>11</v>
      </c>
      <c r="C9">
        <v>19.7</v>
      </c>
      <c r="D9">
        <v>18.55</v>
      </c>
      <c r="E9">
        <v>-5.84</v>
      </c>
    </row>
    <row r="10" spans="1:8" x14ac:dyDescent="0.3">
      <c r="A10" s="27" t="s">
        <v>2398</v>
      </c>
      <c r="B10" s="27" t="s">
        <v>33</v>
      </c>
      <c r="C10">
        <v>55.85</v>
      </c>
      <c r="D10">
        <v>52.6</v>
      </c>
      <c r="E10">
        <v>-5.82</v>
      </c>
    </row>
    <row r="11" spans="1:8" x14ac:dyDescent="0.3">
      <c r="A11" s="27" t="s">
        <v>2399</v>
      </c>
      <c r="B11" s="27" t="s">
        <v>10</v>
      </c>
      <c r="C11">
        <v>211.2</v>
      </c>
      <c r="D11">
        <v>199.9</v>
      </c>
      <c r="E11">
        <v>-5.35</v>
      </c>
    </row>
    <row r="12" spans="1:8" x14ac:dyDescent="0.3">
      <c r="A12" s="27" t="s">
        <v>2400</v>
      </c>
      <c r="B12" s="27" t="s">
        <v>25</v>
      </c>
      <c r="C12">
        <v>2.6</v>
      </c>
      <c r="D12">
        <v>2.4700000000000002</v>
      </c>
      <c r="E12">
        <v>-5</v>
      </c>
    </row>
    <row r="13" spans="1:8" x14ac:dyDescent="0.3">
      <c r="A13" s="27" t="s">
        <v>2401</v>
      </c>
      <c r="B13" s="27" t="s">
        <v>29</v>
      </c>
      <c r="C13">
        <v>1</v>
      </c>
      <c r="D13">
        <v>0.95</v>
      </c>
      <c r="E13">
        <v>-5</v>
      </c>
    </row>
    <row r="14" spans="1:8" x14ac:dyDescent="0.3">
      <c r="A14" s="27" t="s">
        <v>2402</v>
      </c>
      <c r="B14" s="27" t="s">
        <v>29</v>
      </c>
      <c r="C14">
        <v>16</v>
      </c>
      <c r="D14">
        <v>15.2</v>
      </c>
      <c r="E14">
        <v>-5</v>
      </c>
    </row>
    <row r="15" spans="1:8" x14ac:dyDescent="0.3">
      <c r="A15" s="27" t="s">
        <v>2403</v>
      </c>
      <c r="B15" s="27" t="s">
        <v>35</v>
      </c>
      <c r="C15">
        <v>355</v>
      </c>
      <c r="D15">
        <v>337.25</v>
      </c>
      <c r="E15">
        <v>-5</v>
      </c>
    </row>
    <row r="16" spans="1:8" x14ac:dyDescent="0.3">
      <c r="A16" s="27" t="s">
        <v>350</v>
      </c>
      <c r="B16" s="27" t="s">
        <v>33</v>
      </c>
      <c r="C16">
        <v>13.8</v>
      </c>
      <c r="D16">
        <v>13.11</v>
      </c>
      <c r="E16">
        <v>-5</v>
      </c>
    </row>
    <row r="17" spans="1:5" x14ac:dyDescent="0.3">
      <c r="A17" s="27" t="s">
        <v>2404</v>
      </c>
      <c r="B17" s="27" t="s">
        <v>33</v>
      </c>
      <c r="C17">
        <v>4.8</v>
      </c>
      <c r="D17">
        <v>4.5599999999999996</v>
      </c>
      <c r="E17">
        <v>-5</v>
      </c>
    </row>
    <row r="18" spans="1:5" x14ac:dyDescent="0.3">
      <c r="A18" s="27" t="s">
        <v>2405</v>
      </c>
      <c r="B18" s="27" t="s">
        <v>35</v>
      </c>
      <c r="C18">
        <v>33</v>
      </c>
      <c r="D18">
        <v>31.35</v>
      </c>
      <c r="E18">
        <v>-5</v>
      </c>
    </row>
    <row r="19" spans="1:5" x14ac:dyDescent="0.3">
      <c r="A19" s="27" t="s">
        <v>2406</v>
      </c>
      <c r="B19" s="27" t="s">
        <v>328</v>
      </c>
      <c r="C19">
        <v>1.6</v>
      </c>
      <c r="D19">
        <v>1.52</v>
      </c>
      <c r="E19">
        <v>-5</v>
      </c>
    </row>
    <row r="20" spans="1:5" x14ac:dyDescent="0.3">
      <c r="A20" s="27" t="s">
        <v>2407</v>
      </c>
      <c r="B20" s="27" t="s">
        <v>33</v>
      </c>
      <c r="C20">
        <v>7</v>
      </c>
      <c r="D20">
        <v>6.65</v>
      </c>
      <c r="E20">
        <v>-5</v>
      </c>
    </row>
    <row r="21" spans="1:5" x14ac:dyDescent="0.3">
      <c r="A21" s="27" t="s">
        <v>2408</v>
      </c>
      <c r="B21" s="27" t="s">
        <v>33</v>
      </c>
      <c r="C21">
        <v>2</v>
      </c>
      <c r="D21">
        <v>1.9</v>
      </c>
      <c r="E21">
        <v>-5</v>
      </c>
    </row>
    <row r="22" spans="1:5" x14ac:dyDescent="0.3">
      <c r="A22" s="27" t="s">
        <v>2409</v>
      </c>
      <c r="B22" s="27" t="s">
        <v>33</v>
      </c>
      <c r="C22">
        <v>3.2</v>
      </c>
      <c r="D22">
        <v>3.04</v>
      </c>
      <c r="E22">
        <v>-5</v>
      </c>
    </row>
    <row r="23" spans="1:5" x14ac:dyDescent="0.3">
      <c r="A23" s="27" t="s">
        <v>2410</v>
      </c>
      <c r="B23" s="27" t="s">
        <v>33</v>
      </c>
      <c r="C23">
        <v>11.61</v>
      </c>
      <c r="D23">
        <v>11.03</v>
      </c>
      <c r="E23">
        <v>-5</v>
      </c>
    </row>
    <row r="24" spans="1:5" x14ac:dyDescent="0.3">
      <c r="A24" s="27" t="s">
        <v>2411</v>
      </c>
      <c r="B24" s="27" t="s">
        <v>33</v>
      </c>
      <c r="C24">
        <v>13.6</v>
      </c>
      <c r="D24">
        <v>12.92</v>
      </c>
      <c r="E24">
        <v>-5</v>
      </c>
    </row>
    <row r="25" spans="1:5" x14ac:dyDescent="0.3">
      <c r="A25" s="27" t="s">
        <v>2412</v>
      </c>
      <c r="B25" s="27" t="s">
        <v>11</v>
      </c>
      <c r="C25">
        <v>5.6</v>
      </c>
      <c r="D25">
        <v>5.32</v>
      </c>
      <c r="E25">
        <v>-5</v>
      </c>
    </row>
    <row r="26" spans="1:5" x14ac:dyDescent="0.3">
      <c r="A26" s="27" t="s">
        <v>2413</v>
      </c>
      <c r="B26" s="27" t="s">
        <v>328</v>
      </c>
      <c r="C26">
        <v>0.2</v>
      </c>
      <c r="D26">
        <v>0.19</v>
      </c>
      <c r="E26">
        <v>-5</v>
      </c>
    </row>
    <row r="27" spans="1:5" x14ac:dyDescent="0.3">
      <c r="A27" s="27" t="s">
        <v>2414</v>
      </c>
      <c r="B27" s="27" t="s">
        <v>29</v>
      </c>
      <c r="C27">
        <v>6</v>
      </c>
      <c r="D27">
        <v>5.7</v>
      </c>
      <c r="E27">
        <v>-5</v>
      </c>
    </row>
    <row r="28" spans="1:5" x14ac:dyDescent="0.3">
      <c r="A28" s="27" t="s">
        <v>2415</v>
      </c>
      <c r="B28" s="27" t="s">
        <v>11</v>
      </c>
      <c r="C28">
        <v>21</v>
      </c>
      <c r="D28">
        <v>19.95</v>
      </c>
      <c r="E28">
        <v>-5</v>
      </c>
    </row>
    <row r="29" spans="1:5" x14ac:dyDescent="0.3">
      <c r="A29" s="27" t="s">
        <v>2416</v>
      </c>
      <c r="B29" s="27" t="s">
        <v>11</v>
      </c>
      <c r="C29">
        <v>311</v>
      </c>
      <c r="D29">
        <v>295.45</v>
      </c>
      <c r="E29">
        <v>-5</v>
      </c>
    </row>
    <row r="30" spans="1:5" x14ac:dyDescent="0.3">
      <c r="A30" s="27" t="s">
        <v>2417</v>
      </c>
      <c r="B30" s="27" t="s">
        <v>33</v>
      </c>
      <c r="C30">
        <v>380.35</v>
      </c>
      <c r="D30">
        <v>361.35</v>
      </c>
      <c r="E30">
        <v>-5</v>
      </c>
    </row>
    <row r="31" spans="1:5" x14ac:dyDescent="0.3">
      <c r="A31" s="27" t="s">
        <v>2418</v>
      </c>
      <c r="B31" s="27" t="s">
        <v>33</v>
      </c>
      <c r="C31">
        <v>26.05</v>
      </c>
      <c r="D31">
        <v>24.75</v>
      </c>
      <c r="E31">
        <v>-4.99</v>
      </c>
    </row>
    <row r="32" spans="1:5" x14ac:dyDescent="0.3">
      <c r="A32" s="27" t="s">
        <v>2419</v>
      </c>
      <c r="B32" s="27" t="s">
        <v>10</v>
      </c>
      <c r="C32">
        <v>100.15</v>
      </c>
      <c r="D32">
        <v>95.15</v>
      </c>
      <c r="E32">
        <v>-4.99</v>
      </c>
    </row>
    <row r="33" spans="1:5" x14ac:dyDescent="0.3">
      <c r="A33" s="27" t="s">
        <v>2420</v>
      </c>
      <c r="B33" s="27" t="s">
        <v>22</v>
      </c>
      <c r="C33">
        <v>8.6199999999999992</v>
      </c>
      <c r="D33">
        <v>8.19</v>
      </c>
      <c r="E33">
        <v>-4.99</v>
      </c>
    </row>
    <row r="34" spans="1:5" x14ac:dyDescent="0.3">
      <c r="A34" s="27" t="s">
        <v>2421</v>
      </c>
      <c r="B34" s="27" t="s">
        <v>328</v>
      </c>
      <c r="C34">
        <v>37.1</v>
      </c>
      <c r="D34">
        <v>35.25</v>
      </c>
      <c r="E34">
        <v>-4.99</v>
      </c>
    </row>
    <row r="35" spans="1:5" x14ac:dyDescent="0.3">
      <c r="A35" s="27" t="s">
        <v>2422</v>
      </c>
      <c r="B35" s="27" t="s">
        <v>33</v>
      </c>
      <c r="C35">
        <v>267.75</v>
      </c>
      <c r="D35">
        <v>254.4</v>
      </c>
      <c r="E35">
        <v>-4.99</v>
      </c>
    </row>
    <row r="36" spans="1:5" x14ac:dyDescent="0.3">
      <c r="A36" s="27" t="s">
        <v>2423</v>
      </c>
      <c r="B36" s="27" t="s">
        <v>11</v>
      </c>
      <c r="C36">
        <v>25.05</v>
      </c>
      <c r="D36">
        <v>23.8</v>
      </c>
      <c r="E36">
        <v>-4.99</v>
      </c>
    </row>
    <row r="37" spans="1:5" x14ac:dyDescent="0.3">
      <c r="A37" s="27" t="s">
        <v>2424</v>
      </c>
      <c r="B37" s="27" t="s">
        <v>10</v>
      </c>
      <c r="C37">
        <v>78.099999999999994</v>
      </c>
      <c r="D37">
        <v>74.2</v>
      </c>
      <c r="E37">
        <v>-4.99</v>
      </c>
    </row>
    <row r="38" spans="1:5" x14ac:dyDescent="0.3">
      <c r="A38" s="27" t="s">
        <v>2425</v>
      </c>
      <c r="B38" s="27" t="s">
        <v>29</v>
      </c>
      <c r="C38">
        <v>111.4</v>
      </c>
      <c r="D38">
        <v>105.85</v>
      </c>
      <c r="E38">
        <v>-4.9800000000000004</v>
      </c>
    </row>
    <row r="39" spans="1:5" x14ac:dyDescent="0.3">
      <c r="A39" s="27" t="s">
        <v>2426</v>
      </c>
      <c r="B39" s="27" t="s">
        <v>10</v>
      </c>
      <c r="C39">
        <v>88.35</v>
      </c>
      <c r="D39">
        <v>83.95</v>
      </c>
      <c r="E39">
        <v>-4.9800000000000004</v>
      </c>
    </row>
    <row r="40" spans="1:5" x14ac:dyDescent="0.3">
      <c r="A40" s="27" t="s">
        <v>2427</v>
      </c>
      <c r="B40" s="27" t="s">
        <v>33</v>
      </c>
      <c r="C40">
        <v>2.41</v>
      </c>
      <c r="D40">
        <v>2.29</v>
      </c>
      <c r="E40">
        <v>-4.9800000000000004</v>
      </c>
    </row>
    <row r="41" spans="1:5" x14ac:dyDescent="0.3">
      <c r="A41" s="27" t="s">
        <v>2428</v>
      </c>
      <c r="B41" s="27" t="s">
        <v>328</v>
      </c>
      <c r="C41">
        <v>12.27</v>
      </c>
      <c r="D41">
        <v>11.66</v>
      </c>
      <c r="E41">
        <v>-4.97</v>
      </c>
    </row>
    <row r="42" spans="1:5" x14ac:dyDescent="0.3">
      <c r="A42" s="27" t="s">
        <v>2429</v>
      </c>
      <c r="B42" s="27" t="s">
        <v>328</v>
      </c>
      <c r="C42">
        <v>17.100000000000001</v>
      </c>
      <c r="D42">
        <v>16.25</v>
      </c>
      <c r="E42">
        <v>-4.97</v>
      </c>
    </row>
    <row r="43" spans="1:5" x14ac:dyDescent="0.3">
      <c r="A43" s="27" t="s">
        <v>2430</v>
      </c>
      <c r="B43" s="27" t="s">
        <v>328</v>
      </c>
      <c r="C43">
        <v>6.84</v>
      </c>
      <c r="D43">
        <v>6.5</v>
      </c>
      <c r="E43">
        <v>-4.97</v>
      </c>
    </row>
    <row r="44" spans="1:5" x14ac:dyDescent="0.3">
      <c r="A44" s="27" t="s">
        <v>2431</v>
      </c>
      <c r="B44" s="27" t="s">
        <v>33</v>
      </c>
      <c r="C44">
        <v>132.69999999999999</v>
      </c>
      <c r="D44">
        <v>126.1</v>
      </c>
      <c r="E44">
        <v>-4.97</v>
      </c>
    </row>
    <row r="45" spans="1:5" x14ac:dyDescent="0.3">
      <c r="A45" s="27" t="s">
        <v>2432</v>
      </c>
      <c r="B45" s="27" t="s">
        <v>33</v>
      </c>
      <c r="C45">
        <v>8.65</v>
      </c>
      <c r="D45">
        <v>8.2200000000000006</v>
      </c>
      <c r="E45">
        <v>-4.97</v>
      </c>
    </row>
    <row r="46" spans="1:5" x14ac:dyDescent="0.3">
      <c r="A46" s="27" t="s">
        <v>2433</v>
      </c>
      <c r="B46" s="27" t="s">
        <v>328</v>
      </c>
      <c r="C46">
        <v>4.43</v>
      </c>
      <c r="D46">
        <v>4.21</v>
      </c>
      <c r="E46">
        <v>-4.97</v>
      </c>
    </row>
    <row r="47" spans="1:5" x14ac:dyDescent="0.3">
      <c r="A47" s="27" t="s">
        <v>2434</v>
      </c>
      <c r="B47" s="27" t="s">
        <v>328</v>
      </c>
      <c r="C47">
        <v>6.64</v>
      </c>
      <c r="D47">
        <v>6.31</v>
      </c>
      <c r="E47">
        <v>-4.97</v>
      </c>
    </row>
    <row r="48" spans="1:5" x14ac:dyDescent="0.3">
      <c r="A48" s="27" t="s">
        <v>2435</v>
      </c>
      <c r="B48" s="27" t="s">
        <v>33</v>
      </c>
      <c r="C48">
        <v>1.81</v>
      </c>
      <c r="D48">
        <v>1.72</v>
      </c>
      <c r="E48">
        <v>-4.97</v>
      </c>
    </row>
    <row r="49" spans="1:5" x14ac:dyDescent="0.3">
      <c r="A49" s="27" t="s">
        <v>2436</v>
      </c>
      <c r="B49" s="27" t="s">
        <v>33</v>
      </c>
      <c r="C49">
        <v>25.15</v>
      </c>
      <c r="D49">
        <v>23.9</v>
      </c>
      <c r="E49">
        <v>-4.97</v>
      </c>
    </row>
    <row r="50" spans="1:5" x14ac:dyDescent="0.3">
      <c r="A50" s="27" t="s">
        <v>2437</v>
      </c>
      <c r="B50" s="27" t="s">
        <v>33</v>
      </c>
      <c r="C50">
        <v>71.5</v>
      </c>
      <c r="D50">
        <v>67.95</v>
      </c>
      <c r="E50">
        <v>-4.97</v>
      </c>
    </row>
    <row r="51" spans="1:5" x14ac:dyDescent="0.3">
      <c r="A51" s="27" t="s">
        <v>2438</v>
      </c>
      <c r="B51" s="27" t="s">
        <v>33</v>
      </c>
      <c r="C51">
        <v>40.35</v>
      </c>
      <c r="D51">
        <v>38.35</v>
      </c>
      <c r="E51">
        <v>-4.96</v>
      </c>
    </row>
    <row r="52" spans="1:5" x14ac:dyDescent="0.3">
      <c r="A52" s="27" t="s">
        <v>2439</v>
      </c>
      <c r="B52" s="27" t="s">
        <v>33</v>
      </c>
      <c r="C52">
        <v>14.53</v>
      </c>
      <c r="D52">
        <v>13.81</v>
      </c>
      <c r="E52">
        <v>-4.96</v>
      </c>
    </row>
    <row r="53" spans="1:5" x14ac:dyDescent="0.3">
      <c r="A53" s="27" t="s">
        <v>2440</v>
      </c>
      <c r="B53" s="27" t="s">
        <v>33</v>
      </c>
      <c r="C53">
        <v>12.5</v>
      </c>
      <c r="D53">
        <v>11.88</v>
      </c>
      <c r="E53">
        <v>-4.96</v>
      </c>
    </row>
    <row r="54" spans="1:5" x14ac:dyDescent="0.3">
      <c r="A54" s="27" t="s">
        <v>2441</v>
      </c>
      <c r="B54" s="27" t="s">
        <v>33</v>
      </c>
      <c r="C54">
        <v>12.3</v>
      </c>
      <c r="D54">
        <v>11.69</v>
      </c>
      <c r="E54">
        <v>-4.96</v>
      </c>
    </row>
    <row r="55" spans="1:5" x14ac:dyDescent="0.3">
      <c r="A55" s="27" t="s">
        <v>2442</v>
      </c>
      <c r="B55" s="27" t="s">
        <v>11</v>
      </c>
      <c r="C55">
        <v>56.5</v>
      </c>
      <c r="D55">
        <v>53.7</v>
      </c>
      <c r="E55">
        <v>-4.96</v>
      </c>
    </row>
    <row r="56" spans="1:5" x14ac:dyDescent="0.3">
      <c r="A56" s="27" t="s">
        <v>2443</v>
      </c>
      <c r="B56" s="27" t="s">
        <v>33</v>
      </c>
      <c r="C56">
        <v>11.29</v>
      </c>
      <c r="D56">
        <v>10.73</v>
      </c>
      <c r="E56">
        <v>-4.96</v>
      </c>
    </row>
    <row r="57" spans="1:5" x14ac:dyDescent="0.3">
      <c r="A57" s="27" t="s">
        <v>2444</v>
      </c>
      <c r="B57" s="27" t="s">
        <v>33</v>
      </c>
      <c r="C57">
        <v>12.5</v>
      </c>
      <c r="D57">
        <v>11.88</v>
      </c>
      <c r="E57">
        <v>-4.96</v>
      </c>
    </row>
    <row r="58" spans="1:5" x14ac:dyDescent="0.3">
      <c r="A58" s="27" t="s">
        <v>2445</v>
      </c>
      <c r="B58" s="27" t="s">
        <v>33</v>
      </c>
      <c r="C58">
        <v>11.5</v>
      </c>
      <c r="D58">
        <v>10.93</v>
      </c>
      <c r="E58">
        <v>-4.96</v>
      </c>
    </row>
    <row r="59" spans="1:5" x14ac:dyDescent="0.3">
      <c r="A59" s="27" t="s">
        <v>2446</v>
      </c>
      <c r="B59" s="27" t="s">
        <v>328</v>
      </c>
      <c r="C59">
        <v>35.35</v>
      </c>
      <c r="D59">
        <v>33.6</v>
      </c>
      <c r="E59">
        <v>-4.95</v>
      </c>
    </row>
    <row r="60" spans="1:5" x14ac:dyDescent="0.3">
      <c r="A60" s="27" t="s">
        <v>2447</v>
      </c>
      <c r="B60" s="27" t="s">
        <v>328</v>
      </c>
      <c r="C60">
        <v>13.33</v>
      </c>
      <c r="D60">
        <v>12.67</v>
      </c>
      <c r="E60">
        <v>-4.95</v>
      </c>
    </row>
    <row r="61" spans="1:5" x14ac:dyDescent="0.3">
      <c r="A61" s="27" t="s">
        <v>2448</v>
      </c>
      <c r="B61" s="27" t="s">
        <v>11</v>
      </c>
      <c r="C61">
        <v>19.2</v>
      </c>
      <c r="D61">
        <v>18.25</v>
      </c>
      <c r="E61">
        <v>-4.95</v>
      </c>
    </row>
    <row r="62" spans="1:5" x14ac:dyDescent="0.3">
      <c r="A62" s="27" t="s">
        <v>2449</v>
      </c>
      <c r="B62" s="27" t="s">
        <v>33</v>
      </c>
      <c r="C62">
        <v>9.6999999999999993</v>
      </c>
      <c r="D62">
        <v>9.2200000000000006</v>
      </c>
      <c r="E62">
        <v>-4.95</v>
      </c>
    </row>
    <row r="63" spans="1:5" x14ac:dyDescent="0.3">
      <c r="A63" s="27" t="s">
        <v>2450</v>
      </c>
      <c r="B63" s="27" t="s">
        <v>33</v>
      </c>
      <c r="C63">
        <v>48.5</v>
      </c>
      <c r="D63">
        <v>46.1</v>
      </c>
      <c r="E63">
        <v>-4.95</v>
      </c>
    </row>
    <row r="64" spans="1:5" x14ac:dyDescent="0.3">
      <c r="A64" s="27" t="s">
        <v>2451</v>
      </c>
      <c r="B64" s="27" t="s">
        <v>33</v>
      </c>
      <c r="C64">
        <v>22.2</v>
      </c>
      <c r="D64">
        <v>21.1</v>
      </c>
      <c r="E64">
        <v>-4.95</v>
      </c>
    </row>
    <row r="65" spans="1:5" x14ac:dyDescent="0.3">
      <c r="A65" s="27" t="s">
        <v>2452</v>
      </c>
      <c r="B65" s="27" t="s">
        <v>33</v>
      </c>
      <c r="C65">
        <v>1.01</v>
      </c>
      <c r="D65">
        <v>0.96</v>
      </c>
      <c r="E65">
        <v>-4.95</v>
      </c>
    </row>
    <row r="66" spans="1:5" x14ac:dyDescent="0.3">
      <c r="A66" s="27" t="s">
        <v>2453</v>
      </c>
      <c r="B66" s="27" t="s">
        <v>11</v>
      </c>
      <c r="C66">
        <v>11.73</v>
      </c>
      <c r="D66">
        <v>11.15</v>
      </c>
      <c r="E66">
        <v>-4.9400000000000004</v>
      </c>
    </row>
    <row r="67" spans="1:5" x14ac:dyDescent="0.3">
      <c r="A67" s="27" t="s">
        <v>2454</v>
      </c>
      <c r="B67" s="27" t="s">
        <v>25</v>
      </c>
      <c r="C67">
        <v>11.94</v>
      </c>
      <c r="D67">
        <v>11.35</v>
      </c>
      <c r="E67">
        <v>-4.9400000000000004</v>
      </c>
    </row>
    <row r="68" spans="1:5" x14ac:dyDescent="0.3">
      <c r="A68" s="27" t="s">
        <v>2455</v>
      </c>
      <c r="B68" s="27" t="s">
        <v>33</v>
      </c>
      <c r="C68">
        <v>8.9</v>
      </c>
      <c r="D68">
        <v>8.4600000000000009</v>
      </c>
      <c r="E68">
        <v>-4.9400000000000004</v>
      </c>
    </row>
    <row r="69" spans="1:5" x14ac:dyDescent="0.3">
      <c r="A69" s="27" t="s">
        <v>2456</v>
      </c>
      <c r="B69" s="27" t="s">
        <v>33</v>
      </c>
      <c r="C69">
        <v>6.48</v>
      </c>
      <c r="D69">
        <v>6.16</v>
      </c>
      <c r="E69">
        <v>-4.9400000000000004</v>
      </c>
    </row>
    <row r="70" spans="1:5" x14ac:dyDescent="0.3">
      <c r="A70" s="27" t="s">
        <v>2457</v>
      </c>
      <c r="B70" s="27" t="s">
        <v>328</v>
      </c>
      <c r="C70">
        <v>4.8600000000000003</v>
      </c>
      <c r="D70">
        <v>4.62</v>
      </c>
      <c r="E70">
        <v>-4.9400000000000004</v>
      </c>
    </row>
    <row r="71" spans="1:5" x14ac:dyDescent="0.3">
      <c r="A71" s="27" t="s">
        <v>2458</v>
      </c>
      <c r="B71" s="27" t="s">
        <v>328</v>
      </c>
      <c r="C71">
        <v>2.63</v>
      </c>
      <c r="D71">
        <v>2.5</v>
      </c>
      <c r="E71">
        <v>-4.9400000000000004</v>
      </c>
    </row>
    <row r="72" spans="1:5" x14ac:dyDescent="0.3">
      <c r="A72" s="27" t="s">
        <v>2459</v>
      </c>
      <c r="B72" s="27" t="s">
        <v>328</v>
      </c>
      <c r="C72">
        <v>3.24</v>
      </c>
      <c r="D72">
        <v>3.08</v>
      </c>
      <c r="E72">
        <v>-4.9400000000000004</v>
      </c>
    </row>
    <row r="73" spans="1:5" x14ac:dyDescent="0.3">
      <c r="A73" s="27" t="s">
        <v>2460</v>
      </c>
      <c r="B73" s="27" t="s">
        <v>328</v>
      </c>
      <c r="C73">
        <v>4.67</v>
      </c>
      <c r="D73">
        <v>4.4400000000000004</v>
      </c>
      <c r="E73">
        <v>-4.93</v>
      </c>
    </row>
    <row r="74" spans="1:5" x14ac:dyDescent="0.3">
      <c r="A74" s="27" t="s">
        <v>2461</v>
      </c>
      <c r="B74" s="27" t="s">
        <v>328</v>
      </c>
      <c r="C74">
        <v>6.08</v>
      </c>
      <c r="D74">
        <v>5.78</v>
      </c>
      <c r="E74">
        <v>-4.93</v>
      </c>
    </row>
    <row r="75" spans="1:5" x14ac:dyDescent="0.3">
      <c r="A75" s="27" t="s">
        <v>2462</v>
      </c>
      <c r="B75" s="27" t="s">
        <v>328</v>
      </c>
      <c r="C75">
        <v>10.55</v>
      </c>
      <c r="D75">
        <v>10.029999999999999</v>
      </c>
      <c r="E75">
        <v>-4.93</v>
      </c>
    </row>
    <row r="76" spans="1:5" x14ac:dyDescent="0.3">
      <c r="A76" s="27" t="s">
        <v>2463</v>
      </c>
      <c r="B76" s="27" t="s">
        <v>328</v>
      </c>
      <c r="C76">
        <v>47.65</v>
      </c>
      <c r="D76">
        <v>45.3</v>
      </c>
      <c r="E76">
        <v>-4.93</v>
      </c>
    </row>
    <row r="77" spans="1:5" x14ac:dyDescent="0.3">
      <c r="A77" s="27" t="s">
        <v>2464</v>
      </c>
      <c r="B77" s="27" t="s">
        <v>33</v>
      </c>
      <c r="C77">
        <v>45.6</v>
      </c>
      <c r="D77">
        <v>43.35</v>
      </c>
      <c r="E77">
        <v>-4.93</v>
      </c>
    </row>
    <row r="78" spans="1:5" x14ac:dyDescent="0.3">
      <c r="A78" s="27" t="s">
        <v>2465</v>
      </c>
      <c r="B78" s="27" t="s">
        <v>328</v>
      </c>
      <c r="C78">
        <v>6.49</v>
      </c>
      <c r="D78">
        <v>6.17</v>
      </c>
      <c r="E78">
        <v>-4.93</v>
      </c>
    </row>
    <row r="79" spans="1:5" x14ac:dyDescent="0.3">
      <c r="A79" s="27" t="s">
        <v>2466</v>
      </c>
      <c r="B79" s="27" t="s">
        <v>33</v>
      </c>
      <c r="C79">
        <v>56.75</v>
      </c>
      <c r="D79">
        <v>53.95</v>
      </c>
      <c r="E79">
        <v>-4.93</v>
      </c>
    </row>
    <row r="80" spans="1:5" x14ac:dyDescent="0.3">
      <c r="A80" s="27" t="s">
        <v>2467</v>
      </c>
      <c r="B80" s="27" t="s">
        <v>33</v>
      </c>
      <c r="C80">
        <v>11.37</v>
      </c>
      <c r="D80">
        <v>10.81</v>
      </c>
      <c r="E80">
        <v>-4.93</v>
      </c>
    </row>
    <row r="81" spans="1:5" x14ac:dyDescent="0.3">
      <c r="A81" s="27" t="s">
        <v>2468</v>
      </c>
      <c r="B81" s="27" t="s">
        <v>328</v>
      </c>
      <c r="C81">
        <v>35.5</v>
      </c>
      <c r="D81">
        <v>33.75</v>
      </c>
      <c r="E81">
        <v>-4.93</v>
      </c>
    </row>
    <row r="82" spans="1:5" x14ac:dyDescent="0.3">
      <c r="A82" s="27" t="s">
        <v>2469</v>
      </c>
      <c r="B82" s="27" t="s">
        <v>11</v>
      </c>
      <c r="C82">
        <v>28.4</v>
      </c>
      <c r="D82">
        <v>27</v>
      </c>
      <c r="E82">
        <v>-4.93</v>
      </c>
    </row>
    <row r="83" spans="1:5" x14ac:dyDescent="0.3">
      <c r="A83" s="27" t="s">
        <v>2470</v>
      </c>
      <c r="B83" s="27" t="s">
        <v>33</v>
      </c>
      <c r="C83">
        <v>8.93</v>
      </c>
      <c r="D83">
        <v>8.49</v>
      </c>
      <c r="E83">
        <v>-4.93</v>
      </c>
    </row>
    <row r="84" spans="1:5" x14ac:dyDescent="0.3">
      <c r="A84" s="27" t="s">
        <v>2471</v>
      </c>
      <c r="B84" s="27" t="s">
        <v>328</v>
      </c>
      <c r="C84">
        <v>67.099999999999994</v>
      </c>
      <c r="D84">
        <v>63.8</v>
      </c>
      <c r="E84">
        <v>-4.92</v>
      </c>
    </row>
    <row r="85" spans="1:5" x14ac:dyDescent="0.3">
      <c r="A85" s="27" t="s">
        <v>2472</v>
      </c>
      <c r="B85" s="27" t="s">
        <v>35</v>
      </c>
      <c r="C85">
        <v>3.66</v>
      </c>
      <c r="D85">
        <v>3.48</v>
      </c>
      <c r="E85">
        <v>-4.92</v>
      </c>
    </row>
    <row r="86" spans="1:5" x14ac:dyDescent="0.3">
      <c r="A86" s="27" t="s">
        <v>2473</v>
      </c>
      <c r="B86" s="27" t="s">
        <v>11</v>
      </c>
      <c r="C86">
        <v>5.89</v>
      </c>
      <c r="D86">
        <v>5.6</v>
      </c>
      <c r="E86">
        <v>-4.92</v>
      </c>
    </row>
    <row r="87" spans="1:5" x14ac:dyDescent="0.3">
      <c r="A87" s="27" t="s">
        <v>2474</v>
      </c>
      <c r="B87" s="27" t="s">
        <v>29</v>
      </c>
      <c r="C87">
        <v>5.28</v>
      </c>
      <c r="D87">
        <v>5.0199999999999996</v>
      </c>
      <c r="E87">
        <v>-4.92</v>
      </c>
    </row>
    <row r="88" spans="1:5" x14ac:dyDescent="0.3">
      <c r="A88" s="27" t="s">
        <v>2475</v>
      </c>
      <c r="B88" s="27" t="s">
        <v>328</v>
      </c>
      <c r="C88">
        <v>6.1</v>
      </c>
      <c r="D88">
        <v>5.8</v>
      </c>
      <c r="E88">
        <v>-4.92</v>
      </c>
    </row>
    <row r="89" spans="1:5" x14ac:dyDescent="0.3">
      <c r="A89" s="27" t="s">
        <v>2476</v>
      </c>
      <c r="B89" s="27" t="s">
        <v>35</v>
      </c>
      <c r="C89">
        <v>5.3</v>
      </c>
      <c r="D89">
        <v>5.04</v>
      </c>
      <c r="E89">
        <v>-4.91</v>
      </c>
    </row>
    <row r="90" spans="1:5" x14ac:dyDescent="0.3">
      <c r="A90" s="27" t="s">
        <v>2477</v>
      </c>
      <c r="B90" s="27" t="s">
        <v>29</v>
      </c>
      <c r="C90">
        <v>4.68</v>
      </c>
      <c r="D90">
        <v>4.45</v>
      </c>
      <c r="E90">
        <v>-4.91</v>
      </c>
    </row>
    <row r="91" spans="1:5" x14ac:dyDescent="0.3">
      <c r="A91" s="27" t="s">
        <v>2478</v>
      </c>
      <c r="B91" s="27" t="s">
        <v>29</v>
      </c>
      <c r="C91">
        <v>52.9</v>
      </c>
      <c r="D91">
        <v>50.3</v>
      </c>
      <c r="E91">
        <v>-4.91</v>
      </c>
    </row>
    <row r="92" spans="1:5" x14ac:dyDescent="0.3">
      <c r="A92" s="27" t="s">
        <v>2479</v>
      </c>
      <c r="B92" s="27" t="s">
        <v>33</v>
      </c>
      <c r="C92">
        <v>7.95</v>
      </c>
      <c r="D92">
        <v>7.56</v>
      </c>
      <c r="E92">
        <v>-4.91</v>
      </c>
    </row>
    <row r="93" spans="1:5" x14ac:dyDescent="0.3">
      <c r="A93" s="27" t="s">
        <v>2480</v>
      </c>
      <c r="B93" s="27" t="s">
        <v>33</v>
      </c>
      <c r="C93">
        <v>85.55</v>
      </c>
      <c r="D93">
        <v>81.349999999999994</v>
      </c>
      <c r="E93">
        <v>-4.91</v>
      </c>
    </row>
    <row r="94" spans="1:5" x14ac:dyDescent="0.3">
      <c r="A94" s="27" t="s">
        <v>2481</v>
      </c>
      <c r="B94" s="27" t="s">
        <v>328</v>
      </c>
      <c r="C94">
        <v>38.700000000000003</v>
      </c>
      <c r="D94">
        <v>36.799999999999997</v>
      </c>
      <c r="E94">
        <v>-4.91</v>
      </c>
    </row>
    <row r="95" spans="1:5" x14ac:dyDescent="0.3">
      <c r="A95" s="27" t="s">
        <v>2482</v>
      </c>
      <c r="B95" s="27" t="s">
        <v>33</v>
      </c>
      <c r="C95">
        <v>12.64</v>
      </c>
      <c r="D95">
        <v>12.02</v>
      </c>
      <c r="E95">
        <v>-4.91</v>
      </c>
    </row>
    <row r="96" spans="1:5" x14ac:dyDescent="0.3">
      <c r="A96" s="27" t="s">
        <v>2483</v>
      </c>
      <c r="B96" s="27" t="s">
        <v>33</v>
      </c>
      <c r="C96">
        <v>45.9</v>
      </c>
      <c r="D96">
        <v>43.65</v>
      </c>
      <c r="E96">
        <v>-4.9000000000000004</v>
      </c>
    </row>
    <row r="97" spans="1:5" x14ac:dyDescent="0.3">
      <c r="A97" s="27" t="s">
        <v>2484</v>
      </c>
      <c r="B97" s="27" t="s">
        <v>35</v>
      </c>
      <c r="C97">
        <v>4.29</v>
      </c>
      <c r="D97">
        <v>4.08</v>
      </c>
      <c r="E97">
        <v>-4.9000000000000004</v>
      </c>
    </row>
    <row r="98" spans="1:5" x14ac:dyDescent="0.3">
      <c r="A98" s="27" t="s">
        <v>2485</v>
      </c>
      <c r="B98" s="27" t="s">
        <v>33</v>
      </c>
      <c r="C98">
        <v>5.72</v>
      </c>
      <c r="D98">
        <v>5.44</v>
      </c>
      <c r="E98">
        <v>-4.9000000000000004</v>
      </c>
    </row>
    <row r="99" spans="1:5" x14ac:dyDescent="0.3">
      <c r="A99" s="27" t="s">
        <v>2486</v>
      </c>
      <c r="B99" s="27" t="s">
        <v>33</v>
      </c>
      <c r="C99">
        <v>9.59</v>
      </c>
      <c r="D99">
        <v>9.1199999999999992</v>
      </c>
      <c r="E99">
        <v>-4.9000000000000004</v>
      </c>
    </row>
    <row r="100" spans="1:5" x14ac:dyDescent="0.3">
      <c r="A100" s="27" t="s">
        <v>2487</v>
      </c>
      <c r="B100" s="27" t="s">
        <v>33</v>
      </c>
      <c r="C100">
        <v>14.3</v>
      </c>
      <c r="D100">
        <v>13.6</v>
      </c>
      <c r="E100">
        <v>-4.9000000000000004</v>
      </c>
    </row>
    <row r="101" spans="1:5" x14ac:dyDescent="0.3">
      <c r="A101" s="27" t="s">
        <v>2488</v>
      </c>
      <c r="B101" s="27" t="s">
        <v>33</v>
      </c>
      <c r="C101">
        <v>4.9000000000000004</v>
      </c>
      <c r="D101">
        <v>4.66</v>
      </c>
      <c r="E101">
        <v>-4.9000000000000004</v>
      </c>
    </row>
    <row r="102" spans="1:5" x14ac:dyDescent="0.3">
      <c r="A102" s="27" t="s">
        <v>2489</v>
      </c>
      <c r="B102" s="27" t="s">
        <v>328</v>
      </c>
      <c r="C102">
        <v>144</v>
      </c>
      <c r="D102">
        <v>136.94999999999999</v>
      </c>
      <c r="E102">
        <v>-4.9000000000000004</v>
      </c>
    </row>
    <row r="103" spans="1:5" x14ac:dyDescent="0.3">
      <c r="A103" s="27" t="s">
        <v>2490</v>
      </c>
      <c r="B103" s="27" t="s">
        <v>10</v>
      </c>
      <c r="C103">
        <v>167.85</v>
      </c>
      <c r="D103">
        <v>159.65</v>
      </c>
      <c r="E103">
        <v>-4.8899999999999997</v>
      </c>
    </row>
    <row r="104" spans="1:5" x14ac:dyDescent="0.3">
      <c r="A104" s="27" t="s">
        <v>2491</v>
      </c>
      <c r="B104" s="27" t="s">
        <v>328</v>
      </c>
      <c r="C104">
        <v>17.399999999999999</v>
      </c>
      <c r="D104">
        <v>16.55</v>
      </c>
      <c r="E104">
        <v>-4.8899999999999997</v>
      </c>
    </row>
    <row r="105" spans="1:5" x14ac:dyDescent="0.3">
      <c r="A105" s="27" t="s">
        <v>2492</v>
      </c>
      <c r="B105" s="27" t="s">
        <v>11</v>
      </c>
      <c r="C105">
        <v>3.07</v>
      </c>
      <c r="D105">
        <v>2.92</v>
      </c>
      <c r="E105">
        <v>-4.8899999999999997</v>
      </c>
    </row>
    <row r="106" spans="1:5" x14ac:dyDescent="0.3">
      <c r="A106" s="27" t="s">
        <v>2493</v>
      </c>
      <c r="B106" s="27" t="s">
        <v>328</v>
      </c>
      <c r="C106">
        <v>24.55</v>
      </c>
      <c r="D106">
        <v>23.35</v>
      </c>
      <c r="E106">
        <v>-4.8899999999999997</v>
      </c>
    </row>
    <row r="107" spans="1:5" x14ac:dyDescent="0.3">
      <c r="A107" s="27" t="s">
        <v>2494</v>
      </c>
      <c r="B107" s="27" t="s">
        <v>328</v>
      </c>
      <c r="C107">
        <v>19.45</v>
      </c>
      <c r="D107">
        <v>18.5</v>
      </c>
      <c r="E107">
        <v>-4.88</v>
      </c>
    </row>
    <row r="108" spans="1:5" x14ac:dyDescent="0.3">
      <c r="A108" s="27" t="s">
        <v>2495</v>
      </c>
      <c r="B108" s="27" t="s">
        <v>11</v>
      </c>
      <c r="C108">
        <v>2.87</v>
      </c>
      <c r="D108">
        <v>2.73</v>
      </c>
      <c r="E108">
        <v>-4.88</v>
      </c>
    </row>
    <row r="109" spans="1:5" x14ac:dyDescent="0.3">
      <c r="A109" s="27" t="s">
        <v>2496</v>
      </c>
      <c r="B109" s="27" t="s">
        <v>33</v>
      </c>
      <c r="C109">
        <v>18.45</v>
      </c>
      <c r="D109">
        <v>17.55</v>
      </c>
      <c r="E109">
        <v>-4.88</v>
      </c>
    </row>
    <row r="110" spans="1:5" x14ac:dyDescent="0.3">
      <c r="A110" s="27" t="s">
        <v>2497</v>
      </c>
      <c r="B110" s="27" t="s">
        <v>33</v>
      </c>
      <c r="C110">
        <v>37.950000000000003</v>
      </c>
      <c r="D110">
        <v>36.1</v>
      </c>
      <c r="E110">
        <v>-4.87</v>
      </c>
    </row>
    <row r="111" spans="1:5" x14ac:dyDescent="0.3">
      <c r="A111" s="27" t="s">
        <v>2498</v>
      </c>
      <c r="B111" s="27" t="s">
        <v>328</v>
      </c>
      <c r="C111">
        <v>5.75</v>
      </c>
      <c r="D111">
        <v>5.47</v>
      </c>
      <c r="E111">
        <v>-4.87</v>
      </c>
    </row>
    <row r="112" spans="1:5" x14ac:dyDescent="0.3">
      <c r="A112" s="27" t="s">
        <v>2499</v>
      </c>
      <c r="B112" s="27" t="s">
        <v>33</v>
      </c>
      <c r="C112">
        <v>1.85</v>
      </c>
      <c r="D112">
        <v>1.76</v>
      </c>
      <c r="E112">
        <v>-4.8600000000000003</v>
      </c>
    </row>
    <row r="113" spans="1:5" x14ac:dyDescent="0.3">
      <c r="A113" s="27" t="s">
        <v>2500</v>
      </c>
      <c r="B113" s="27" t="s">
        <v>328</v>
      </c>
      <c r="C113">
        <v>30.85</v>
      </c>
      <c r="D113">
        <v>29.35</v>
      </c>
      <c r="E113">
        <v>-4.8600000000000003</v>
      </c>
    </row>
    <row r="114" spans="1:5" x14ac:dyDescent="0.3">
      <c r="A114" s="27" t="s">
        <v>2501</v>
      </c>
      <c r="B114" s="27" t="s">
        <v>35</v>
      </c>
      <c r="C114">
        <v>2.4700000000000002</v>
      </c>
      <c r="D114">
        <v>2.35</v>
      </c>
      <c r="E114">
        <v>-4.8600000000000003</v>
      </c>
    </row>
    <row r="115" spans="1:5" x14ac:dyDescent="0.3">
      <c r="A115" s="27" t="s">
        <v>2502</v>
      </c>
      <c r="B115" s="27" t="s">
        <v>328</v>
      </c>
      <c r="C115">
        <v>4.12</v>
      </c>
      <c r="D115">
        <v>3.92</v>
      </c>
      <c r="E115">
        <v>-4.8499999999999996</v>
      </c>
    </row>
    <row r="116" spans="1:5" x14ac:dyDescent="0.3">
      <c r="A116" s="27" t="s">
        <v>2503</v>
      </c>
      <c r="B116" s="27" t="s">
        <v>33</v>
      </c>
      <c r="C116">
        <v>26.8</v>
      </c>
      <c r="D116">
        <v>25.5</v>
      </c>
      <c r="E116">
        <v>-4.8499999999999996</v>
      </c>
    </row>
    <row r="117" spans="1:5" x14ac:dyDescent="0.3">
      <c r="A117" s="27" t="s">
        <v>2504</v>
      </c>
      <c r="B117" s="27" t="s">
        <v>328</v>
      </c>
      <c r="C117">
        <v>2.27</v>
      </c>
      <c r="D117">
        <v>2.16</v>
      </c>
      <c r="E117">
        <v>-4.8499999999999996</v>
      </c>
    </row>
    <row r="118" spans="1:5" x14ac:dyDescent="0.3">
      <c r="A118" s="27" t="s">
        <v>2505</v>
      </c>
      <c r="B118" s="27" t="s">
        <v>328</v>
      </c>
      <c r="C118">
        <v>3.3</v>
      </c>
      <c r="D118">
        <v>3.14</v>
      </c>
      <c r="E118">
        <v>-4.8499999999999996</v>
      </c>
    </row>
    <row r="119" spans="1:5" x14ac:dyDescent="0.3">
      <c r="A119" s="27" t="s">
        <v>2506</v>
      </c>
      <c r="B119" s="27" t="s">
        <v>11</v>
      </c>
      <c r="C119">
        <v>22.7</v>
      </c>
      <c r="D119">
        <v>21.6</v>
      </c>
      <c r="E119">
        <v>-4.8499999999999996</v>
      </c>
    </row>
    <row r="120" spans="1:5" x14ac:dyDescent="0.3">
      <c r="A120" s="27" t="s">
        <v>2507</v>
      </c>
      <c r="B120" s="27" t="s">
        <v>11</v>
      </c>
      <c r="C120">
        <v>25.85</v>
      </c>
      <c r="D120">
        <v>24.6</v>
      </c>
      <c r="E120">
        <v>-4.84</v>
      </c>
    </row>
    <row r="121" spans="1:5" x14ac:dyDescent="0.3">
      <c r="A121" s="27" t="s">
        <v>2508</v>
      </c>
      <c r="B121" s="27" t="s">
        <v>35</v>
      </c>
      <c r="C121">
        <v>5.78</v>
      </c>
      <c r="D121">
        <v>5.5</v>
      </c>
      <c r="E121">
        <v>-4.84</v>
      </c>
    </row>
    <row r="122" spans="1:5" x14ac:dyDescent="0.3">
      <c r="A122" s="27" t="s">
        <v>2509</v>
      </c>
      <c r="B122" s="27" t="s">
        <v>29</v>
      </c>
      <c r="C122">
        <v>2.9</v>
      </c>
      <c r="D122">
        <v>2.76</v>
      </c>
      <c r="E122">
        <v>-4.83</v>
      </c>
    </row>
    <row r="123" spans="1:5" x14ac:dyDescent="0.3">
      <c r="A123" s="27" t="s">
        <v>2510</v>
      </c>
      <c r="B123" s="27" t="s">
        <v>29</v>
      </c>
      <c r="C123">
        <v>22.8</v>
      </c>
      <c r="D123">
        <v>21.7</v>
      </c>
      <c r="E123">
        <v>-4.82</v>
      </c>
    </row>
    <row r="124" spans="1:5" x14ac:dyDescent="0.3">
      <c r="A124" s="27" t="s">
        <v>2511</v>
      </c>
      <c r="B124" s="27" t="s">
        <v>11</v>
      </c>
      <c r="C124">
        <v>19.7</v>
      </c>
      <c r="D124">
        <v>18.75</v>
      </c>
      <c r="E124">
        <v>-4.82</v>
      </c>
    </row>
    <row r="125" spans="1:5" x14ac:dyDescent="0.3">
      <c r="A125" s="27" t="s">
        <v>2512</v>
      </c>
      <c r="B125" s="27" t="s">
        <v>33</v>
      </c>
      <c r="C125">
        <v>0.83</v>
      </c>
      <c r="D125">
        <v>0.79</v>
      </c>
      <c r="E125">
        <v>-4.82</v>
      </c>
    </row>
    <row r="126" spans="1:5" x14ac:dyDescent="0.3">
      <c r="A126" s="27" t="s">
        <v>2513</v>
      </c>
      <c r="B126" s="27" t="s">
        <v>25</v>
      </c>
      <c r="C126">
        <v>16.18</v>
      </c>
      <c r="D126">
        <v>15.4</v>
      </c>
      <c r="E126">
        <v>-4.82</v>
      </c>
    </row>
    <row r="127" spans="1:5" x14ac:dyDescent="0.3">
      <c r="A127" s="27" t="s">
        <v>2514</v>
      </c>
      <c r="B127" s="27" t="s">
        <v>11</v>
      </c>
      <c r="C127">
        <v>7.05</v>
      </c>
      <c r="D127">
        <v>6.71</v>
      </c>
      <c r="E127">
        <v>-4.82</v>
      </c>
    </row>
    <row r="128" spans="1:5" x14ac:dyDescent="0.3">
      <c r="A128" s="27" t="s">
        <v>2515</v>
      </c>
      <c r="B128" s="27" t="s">
        <v>328</v>
      </c>
      <c r="C128">
        <v>31.1</v>
      </c>
      <c r="D128">
        <v>29.6</v>
      </c>
      <c r="E128">
        <v>-4.82</v>
      </c>
    </row>
    <row r="129" spans="1:5" x14ac:dyDescent="0.3">
      <c r="A129" s="27" t="s">
        <v>2516</v>
      </c>
      <c r="B129" s="27" t="s">
        <v>29</v>
      </c>
      <c r="C129">
        <v>3.12</v>
      </c>
      <c r="D129">
        <v>2.97</v>
      </c>
      <c r="E129">
        <v>-4.8099999999999996</v>
      </c>
    </row>
    <row r="130" spans="1:5" x14ac:dyDescent="0.3">
      <c r="A130" s="27" t="s">
        <v>2517</v>
      </c>
      <c r="B130" s="27" t="s">
        <v>29</v>
      </c>
      <c r="C130">
        <v>7.51</v>
      </c>
      <c r="D130">
        <v>7.15</v>
      </c>
      <c r="E130">
        <v>-4.79</v>
      </c>
    </row>
    <row r="131" spans="1:5" x14ac:dyDescent="0.3">
      <c r="A131" s="27" t="s">
        <v>2518</v>
      </c>
      <c r="B131" s="27" t="s">
        <v>328</v>
      </c>
      <c r="C131">
        <v>19.95</v>
      </c>
      <c r="D131">
        <v>19</v>
      </c>
      <c r="E131">
        <v>-4.76</v>
      </c>
    </row>
    <row r="132" spans="1:5" x14ac:dyDescent="0.3">
      <c r="A132" s="27" t="s">
        <v>2519</v>
      </c>
      <c r="B132" s="27" t="s">
        <v>328</v>
      </c>
      <c r="C132">
        <v>3.15</v>
      </c>
      <c r="D132">
        <v>3</v>
      </c>
      <c r="E132">
        <v>-4.76</v>
      </c>
    </row>
    <row r="133" spans="1:5" x14ac:dyDescent="0.3">
      <c r="A133" s="27" t="s">
        <v>2520</v>
      </c>
      <c r="B133" s="27" t="s">
        <v>35</v>
      </c>
      <c r="C133">
        <v>1.05</v>
      </c>
      <c r="D133">
        <v>1</v>
      </c>
      <c r="E133">
        <v>-4.76</v>
      </c>
    </row>
    <row r="134" spans="1:5" x14ac:dyDescent="0.3">
      <c r="A134" s="27" t="s">
        <v>2521</v>
      </c>
      <c r="B134" s="27" t="s">
        <v>33</v>
      </c>
      <c r="C134">
        <v>19.95</v>
      </c>
      <c r="D134">
        <v>19</v>
      </c>
      <c r="E134">
        <v>-4.76</v>
      </c>
    </row>
    <row r="135" spans="1:5" x14ac:dyDescent="0.3">
      <c r="A135" s="27" t="s">
        <v>2522</v>
      </c>
      <c r="B135" s="27" t="s">
        <v>35</v>
      </c>
      <c r="C135">
        <v>0.21</v>
      </c>
      <c r="D135">
        <v>0.2</v>
      </c>
      <c r="E135">
        <v>-4.76</v>
      </c>
    </row>
    <row r="136" spans="1:5" x14ac:dyDescent="0.3">
      <c r="A136" s="27" t="s">
        <v>2523</v>
      </c>
      <c r="B136" s="27" t="s">
        <v>25</v>
      </c>
      <c r="C136">
        <v>15.75</v>
      </c>
      <c r="D136">
        <v>15</v>
      </c>
      <c r="E136">
        <v>-4.76</v>
      </c>
    </row>
    <row r="137" spans="1:5" x14ac:dyDescent="0.3">
      <c r="A137" s="27" t="s">
        <v>2524</v>
      </c>
      <c r="B137" s="27" t="s">
        <v>33</v>
      </c>
      <c r="C137">
        <v>10.5</v>
      </c>
      <c r="D137">
        <v>10</v>
      </c>
      <c r="E137">
        <v>-4.76</v>
      </c>
    </row>
    <row r="138" spans="1:5" x14ac:dyDescent="0.3">
      <c r="A138" s="27" t="s">
        <v>2525</v>
      </c>
      <c r="B138" s="27" t="s">
        <v>328</v>
      </c>
      <c r="C138">
        <v>17.850000000000001</v>
      </c>
      <c r="D138">
        <v>17</v>
      </c>
      <c r="E138">
        <v>-4.76</v>
      </c>
    </row>
    <row r="139" spans="1:5" x14ac:dyDescent="0.3">
      <c r="A139" s="27" t="s">
        <v>2526</v>
      </c>
      <c r="B139" s="27" t="s">
        <v>11</v>
      </c>
      <c r="C139">
        <v>3.78</v>
      </c>
      <c r="D139">
        <v>3.6</v>
      </c>
      <c r="E139">
        <v>-4.76</v>
      </c>
    </row>
    <row r="140" spans="1:5" x14ac:dyDescent="0.3">
      <c r="A140" s="27" t="s">
        <v>2527</v>
      </c>
      <c r="B140" s="27" t="s">
        <v>328</v>
      </c>
      <c r="C140">
        <v>0.42</v>
      </c>
      <c r="D140">
        <v>0.4</v>
      </c>
      <c r="E140">
        <v>-4.76</v>
      </c>
    </row>
    <row r="141" spans="1:5" x14ac:dyDescent="0.3">
      <c r="A141" s="27" t="s">
        <v>2528</v>
      </c>
      <c r="B141" s="27" t="s">
        <v>33</v>
      </c>
      <c r="C141">
        <v>15.8</v>
      </c>
      <c r="D141">
        <v>15.05</v>
      </c>
      <c r="E141">
        <v>-4.75</v>
      </c>
    </row>
    <row r="142" spans="1:5" x14ac:dyDescent="0.3">
      <c r="A142" s="27" t="s">
        <v>2529</v>
      </c>
      <c r="B142" s="27" t="s">
        <v>328</v>
      </c>
      <c r="C142">
        <v>5.05</v>
      </c>
      <c r="D142">
        <v>4.8099999999999996</v>
      </c>
      <c r="E142">
        <v>-4.75</v>
      </c>
    </row>
    <row r="143" spans="1:5" x14ac:dyDescent="0.3">
      <c r="A143" s="27" t="s">
        <v>2530</v>
      </c>
      <c r="B143" s="27" t="s">
        <v>29</v>
      </c>
      <c r="C143">
        <v>8.85</v>
      </c>
      <c r="D143">
        <v>8.43</v>
      </c>
      <c r="E143">
        <v>-4.75</v>
      </c>
    </row>
    <row r="144" spans="1:5" x14ac:dyDescent="0.3">
      <c r="A144" s="27" t="s">
        <v>2531</v>
      </c>
      <c r="B144" s="27" t="s">
        <v>33</v>
      </c>
      <c r="C144">
        <v>3.37</v>
      </c>
      <c r="D144">
        <v>3.21</v>
      </c>
      <c r="E144">
        <v>-4.75</v>
      </c>
    </row>
    <row r="145" spans="1:5" x14ac:dyDescent="0.3">
      <c r="A145" s="27" t="s">
        <v>2532</v>
      </c>
      <c r="B145" s="27" t="s">
        <v>33</v>
      </c>
      <c r="C145">
        <v>19</v>
      </c>
      <c r="D145">
        <v>18.100000000000001</v>
      </c>
      <c r="E145">
        <v>-4.74</v>
      </c>
    </row>
    <row r="146" spans="1:5" x14ac:dyDescent="0.3">
      <c r="A146" s="27" t="s">
        <v>2533</v>
      </c>
      <c r="B146" s="27" t="s">
        <v>33</v>
      </c>
      <c r="C146">
        <v>21.1</v>
      </c>
      <c r="D146">
        <v>20.100000000000001</v>
      </c>
      <c r="E146">
        <v>-4.74</v>
      </c>
    </row>
    <row r="147" spans="1:5" x14ac:dyDescent="0.3">
      <c r="A147" s="27" t="s">
        <v>2534</v>
      </c>
      <c r="B147" s="27" t="s">
        <v>33</v>
      </c>
      <c r="C147">
        <v>17.95</v>
      </c>
      <c r="D147">
        <v>17.100000000000001</v>
      </c>
      <c r="E147">
        <v>-4.74</v>
      </c>
    </row>
    <row r="148" spans="1:5" x14ac:dyDescent="0.3">
      <c r="A148" s="27" t="s">
        <v>2535</v>
      </c>
      <c r="B148" s="27" t="s">
        <v>328</v>
      </c>
      <c r="C148">
        <v>7.81</v>
      </c>
      <c r="D148">
        <v>7.44</v>
      </c>
      <c r="E148">
        <v>-4.74</v>
      </c>
    </row>
    <row r="149" spans="1:5" x14ac:dyDescent="0.3">
      <c r="A149" s="27" t="s">
        <v>2536</v>
      </c>
      <c r="B149" s="27" t="s">
        <v>33</v>
      </c>
      <c r="C149">
        <v>4.2300000000000004</v>
      </c>
      <c r="D149">
        <v>4.03</v>
      </c>
      <c r="E149">
        <v>-4.7300000000000004</v>
      </c>
    </row>
    <row r="150" spans="1:5" x14ac:dyDescent="0.3">
      <c r="A150" s="27" t="s">
        <v>2537</v>
      </c>
      <c r="B150" s="27" t="s">
        <v>328</v>
      </c>
      <c r="C150">
        <v>3.39</v>
      </c>
      <c r="D150">
        <v>3.23</v>
      </c>
      <c r="E150">
        <v>-4.72</v>
      </c>
    </row>
    <row r="151" spans="1:5" x14ac:dyDescent="0.3">
      <c r="A151" s="27" t="s">
        <v>2538</v>
      </c>
      <c r="B151" s="27" t="s">
        <v>328</v>
      </c>
      <c r="C151">
        <v>13.77</v>
      </c>
      <c r="D151">
        <v>13.12</v>
      </c>
      <c r="E151">
        <v>-4.72</v>
      </c>
    </row>
    <row r="152" spans="1:5" x14ac:dyDescent="0.3">
      <c r="A152" s="27" t="s">
        <v>2539</v>
      </c>
      <c r="B152" s="27" t="s">
        <v>35</v>
      </c>
      <c r="C152">
        <v>1.91</v>
      </c>
      <c r="D152">
        <v>1.82</v>
      </c>
      <c r="E152">
        <v>-4.71</v>
      </c>
    </row>
    <row r="153" spans="1:5" x14ac:dyDescent="0.3">
      <c r="A153" s="27" t="s">
        <v>2540</v>
      </c>
      <c r="B153" s="27" t="s">
        <v>35</v>
      </c>
      <c r="C153">
        <v>2.97</v>
      </c>
      <c r="D153">
        <v>2.83</v>
      </c>
      <c r="E153">
        <v>-4.71</v>
      </c>
    </row>
    <row r="154" spans="1:5" x14ac:dyDescent="0.3">
      <c r="A154" s="27" t="s">
        <v>579</v>
      </c>
      <c r="B154" s="27" t="s">
        <v>328</v>
      </c>
      <c r="C154">
        <v>0.64</v>
      </c>
      <c r="D154">
        <v>0.61</v>
      </c>
      <c r="E154">
        <v>-4.6900000000000004</v>
      </c>
    </row>
    <row r="155" spans="1:5" x14ac:dyDescent="0.3">
      <c r="A155" s="27" t="s">
        <v>2541</v>
      </c>
      <c r="B155" s="27" t="s">
        <v>25</v>
      </c>
      <c r="C155">
        <v>11.8</v>
      </c>
      <c r="D155">
        <v>11.25</v>
      </c>
      <c r="E155">
        <v>-4.66</v>
      </c>
    </row>
    <row r="156" spans="1:5" x14ac:dyDescent="0.3">
      <c r="A156" s="27" t="s">
        <v>2542</v>
      </c>
      <c r="B156" s="27" t="s">
        <v>29</v>
      </c>
      <c r="C156">
        <v>7.09</v>
      </c>
      <c r="D156">
        <v>6.76</v>
      </c>
      <c r="E156">
        <v>-4.6500000000000004</v>
      </c>
    </row>
    <row r="157" spans="1:5" x14ac:dyDescent="0.3">
      <c r="A157" s="27" t="s">
        <v>2543</v>
      </c>
      <c r="B157" s="27" t="s">
        <v>33</v>
      </c>
      <c r="C157">
        <v>41.95</v>
      </c>
      <c r="D157">
        <v>40</v>
      </c>
      <c r="E157">
        <v>-4.6500000000000004</v>
      </c>
    </row>
    <row r="158" spans="1:5" x14ac:dyDescent="0.3">
      <c r="A158" s="27" t="s">
        <v>2544</v>
      </c>
      <c r="B158" s="27" t="s">
        <v>33</v>
      </c>
      <c r="C158">
        <v>18.45</v>
      </c>
      <c r="D158">
        <v>17.600000000000001</v>
      </c>
      <c r="E158">
        <v>-4.6100000000000003</v>
      </c>
    </row>
    <row r="159" spans="1:5" x14ac:dyDescent="0.3">
      <c r="A159" s="27" t="s">
        <v>2545</v>
      </c>
      <c r="B159" s="27" t="s">
        <v>29</v>
      </c>
      <c r="C159">
        <v>6.3</v>
      </c>
      <c r="D159">
        <v>6.01</v>
      </c>
      <c r="E159">
        <v>-4.5999999999999996</v>
      </c>
    </row>
    <row r="160" spans="1:5" x14ac:dyDescent="0.3">
      <c r="A160" s="27" t="s">
        <v>2546</v>
      </c>
      <c r="B160" s="27" t="s">
        <v>29</v>
      </c>
      <c r="C160">
        <v>11.31</v>
      </c>
      <c r="D160">
        <v>10.79</v>
      </c>
      <c r="E160">
        <v>-4.5999999999999996</v>
      </c>
    </row>
    <row r="161" spans="1:5" x14ac:dyDescent="0.3">
      <c r="A161" s="27" t="s">
        <v>2547</v>
      </c>
      <c r="B161" s="27" t="s">
        <v>11</v>
      </c>
      <c r="C161">
        <v>4.38</v>
      </c>
      <c r="D161">
        <v>4.18</v>
      </c>
      <c r="E161">
        <v>-4.57</v>
      </c>
    </row>
    <row r="162" spans="1:5" x14ac:dyDescent="0.3">
      <c r="A162" s="27" t="s">
        <v>2548</v>
      </c>
      <c r="B162" s="27" t="s">
        <v>328</v>
      </c>
      <c r="C162">
        <v>4.5999999999999996</v>
      </c>
      <c r="D162">
        <v>4.3899999999999997</v>
      </c>
      <c r="E162">
        <v>-4.57</v>
      </c>
    </row>
    <row r="163" spans="1:5" x14ac:dyDescent="0.3">
      <c r="A163" s="27" t="s">
        <v>2549</v>
      </c>
      <c r="B163" s="27" t="s">
        <v>328</v>
      </c>
      <c r="C163">
        <v>0.22</v>
      </c>
      <c r="D163">
        <v>0.21</v>
      </c>
      <c r="E163">
        <v>-4.55</v>
      </c>
    </row>
    <row r="164" spans="1:5" x14ac:dyDescent="0.3">
      <c r="A164" s="27" t="s">
        <v>2550</v>
      </c>
      <c r="B164" s="27" t="s">
        <v>328</v>
      </c>
      <c r="C164">
        <v>7.03</v>
      </c>
      <c r="D164">
        <v>6.71</v>
      </c>
      <c r="E164">
        <v>-4.55</v>
      </c>
    </row>
    <row r="165" spans="1:5" x14ac:dyDescent="0.3">
      <c r="A165" s="27" t="s">
        <v>2551</v>
      </c>
      <c r="B165" s="27" t="s">
        <v>33</v>
      </c>
      <c r="C165">
        <v>0.22</v>
      </c>
      <c r="D165">
        <v>0.21</v>
      </c>
      <c r="E165">
        <v>-4.55</v>
      </c>
    </row>
    <row r="166" spans="1:5" x14ac:dyDescent="0.3">
      <c r="A166" s="27" t="s">
        <v>2552</v>
      </c>
      <c r="B166" s="27" t="s">
        <v>29</v>
      </c>
      <c r="C166">
        <v>0.66</v>
      </c>
      <c r="D166">
        <v>0.63</v>
      </c>
      <c r="E166">
        <v>-4.55</v>
      </c>
    </row>
    <row r="167" spans="1:5" x14ac:dyDescent="0.3">
      <c r="A167" s="27" t="s">
        <v>2553</v>
      </c>
      <c r="B167" s="27" t="s">
        <v>33</v>
      </c>
      <c r="C167">
        <v>11</v>
      </c>
      <c r="D167">
        <v>10.5</v>
      </c>
      <c r="E167">
        <v>-4.55</v>
      </c>
    </row>
    <row r="168" spans="1:5" x14ac:dyDescent="0.3">
      <c r="A168" s="27" t="s">
        <v>2554</v>
      </c>
      <c r="B168" s="27" t="s">
        <v>33</v>
      </c>
      <c r="C168">
        <v>0.66</v>
      </c>
      <c r="D168">
        <v>0.63</v>
      </c>
      <c r="E168">
        <v>-4.55</v>
      </c>
    </row>
    <row r="169" spans="1:5" x14ac:dyDescent="0.3">
      <c r="A169" s="27" t="s">
        <v>2555</v>
      </c>
      <c r="B169" s="27" t="s">
        <v>33</v>
      </c>
      <c r="C169">
        <v>5.29</v>
      </c>
      <c r="D169">
        <v>5.05</v>
      </c>
      <c r="E169">
        <v>-4.54</v>
      </c>
    </row>
    <row r="170" spans="1:5" x14ac:dyDescent="0.3">
      <c r="A170" s="27" t="s">
        <v>2556</v>
      </c>
      <c r="B170" s="27" t="s">
        <v>35</v>
      </c>
      <c r="C170">
        <v>1.99</v>
      </c>
      <c r="D170">
        <v>1.9</v>
      </c>
      <c r="E170">
        <v>-4.5199999999999996</v>
      </c>
    </row>
    <row r="171" spans="1:5" x14ac:dyDescent="0.3">
      <c r="A171" s="27" t="s">
        <v>2557</v>
      </c>
      <c r="B171" s="27" t="s">
        <v>328</v>
      </c>
      <c r="C171">
        <v>0.67</v>
      </c>
      <c r="D171">
        <v>0.64</v>
      </c>
      <c r="E171">
        <v>-4.4800000000000004</v>
      </c>
    </row>
    <row r="172" spans="1:5" x14ac:dyDescent="0.3">
      <c r="A172" s="27" t="s">
        <v>2558</v>
      </c>
      <c r="B172" s="27" t="s">
        <v>33</v>
      </c>
      <c r="C172">
        <v>20.100000000000001</v>
      </c>
      <c r="D172">
        <v>19.2</v>
      </c>
      <c r="E172">
        <v>-4.4800000000000004</v>
      </c>
    </row>
    <row r="173" spans="1:5" x14ac:dyDescent="0.3">
      <c r="A173" s="27" t="s">
        <v>2559</v>
      </c>
      <c r="B173" s="27" t="s">
        <v>11</v>
      </c>
      <c r="C173">
        <v>14.5</v>
      </c>
      <c r="D173">
        <v>13.85</v>
      </c>
      <c r="E173">
        <v>-4.4800000000000004</v>
      </c>
    </row>
    <row r="174" spans="1:5" x14ac:dyDescent="0.3">
      <c r="A174" s="27" t="s">
        <v>2560</v>
      </c>
      <c r="B174" s="27" t="s">
        <v>33</v>
      </c>
      <c r="C174">
        <v>25.65</v>
      </c>
      <c r="D174">
        <v>24.5</v>
      </c>
      <c r="E174">
        <v>-4.4800000000000004</v>
      </c>
    </row>
    <row r="175" spans="1:5" x14ac:dyDescent="0.3">
      <c r="A175" s="27" t="s">
        <v>2561</v>
      </c>
      <c r="B175" s="27" t="s">
        <v>328</v>
      </c>
      <c r="C175">
        <v>6.28</v>
      </c>
      <c r="D175">
        <v>6</v>
      </c>
      <c r="E175">
        <v>-4.46</v>
      </c>
    </row>
    <row r="176" spans="1:5" x14ac:dyDescent="0.3">
      <c r="A176" s="27" t="s">
        <v>2562</v>
      </c>
      <c r="B176" s="27" t="s">
        <v>33</v>
      </c>
      <c r="C176">
        <v>14.65</v>
      </c>
      <c r="D176">
        <v>14</v>
      </c>
      <c r="E176">
        <v>-4.4400000000000004</v>
      </c>
    </row>
    <row r="177" spans="1:5" x14ac:dyDescent="0.3">
      <c r="A177" s="27" t="s">
        <v>2563</v>
      </c>
      <c r="B177" s="27" t="s">
        <v>29</v>
      </c>
      <c r="C177">
        <v>1.8</v>
      </c>
      <c r="D177">
        <v>1.72</v>
      </c>
      <c r="E177">
        <v>-4.4400000000000004</v>
      </c>
    </row>
    <row r="178" spans="1:5" x14ac:dyDescent="0.3">
      <c r="A178" s="27" t="s">
        <v>2564</v>
      </c>
      <c r="B178" s="27" t="s">
        <v>11</v>
      </c>
      <c r="C178">
        <v>29.4</v>
      </c>
      <c r="D178">
        <v>28.1</v>
      </c>
      <c r="E178">
        <v>-4.42</v>
      </c>
    </row>
    <row r="179" spans="1:5" x14ac:dyDescent="0.3">
      <c r="A179" s="27" t="s">
        <v>2565</v>
      </c>
      <c r="B179" s="27" t="s">
        <v>29</v>
      </c>
      <c r="C179">
        <v>1.36</v>
      </c>
      <c r="D179">
        <v>1.3</v>
      </c>
      <c r="E179">
        <v>-4.41</v>
      </c>
    </row>
    <row r="180" spans="1:5" x14ac:dyDescent="0.3">
      <c r="A180" s="27" t="s">
        <v>2566</v>
      </c>
      <c r="B180" s="27" t="s">
        <v>33</v>
      </c>
      <c r="C180">
        <v>54.55</v>
      </c>
      <c r="D180">
        <v>52.15</v>
      </c>
      <c r="E180">
        <v>-4.4000000000000004</v>
      </c>
    </row>
    <row r="181" spans="1:5" x14ac:dyDescent="0.3">
      <c r="A181" s="27" t="s">
        <v>2567</v>
      </c>
      <c r="B181" s="27" t="s">
        <v>328</v>
      </c>
      <c r="C181">
        <v>11.4</v>
      </c>
      <c r="D181">
        <v>10.9</v>
      </c>
      <c r="E181">
        <v>-4.3899999999999997</v>
      </c>
    </row>
    <row r="182" spans="1:5" x14ac:dyDescent="0.3">
      <c r="A182" s="27" t="s">
        <v>2568</v>
      </c>
      <c r="B182" s="27" t="s">
        <v>11</v>
      </c>
      <c r="C182">
        <v>42.15</v>
      </c>
      <c r="D182">
        <v>40.299999999999997</v>
      </c>
      <c r="E182">
        <v>-4.3899999999999997</v>
      </c>
    </row>
    <row r="183" spans="1:5" x14ac:dyDescent="0.3">
      <c r="A183" s="27" t="s">
        <v>2569</v>
      </c>
      <c r="B183" s="27" t="s">
        <v>328</v>
      </c>
      <c r="C183">
        <v>5.03</v>
      </c>
      <c r="D183">
        <v>4.8099999999999996</v>
      </c>
      <c r="E183">
        <v>-4.37</v>
      </c>
    </row>
    <row r="184" spans="1:5" x14ac:dyDescent="0.3">
      <c r="A184" s="27" t="s">
        <v>2570</v>
      </c>
      <c r="B184" s="27" t="s">
        <v>33</v>
      </c>
      <c r="C184">
        <v>0.69</v>
      </c>
      <c r="D184">
        <v>0.66</v>
      </c>
      <c r="E184">
        <v>-4.3499999999999996</v>
      </c>
    </row>
    <row r="185" spans="1:5" x14ac:dyDescent="0.3">
      <c r="A185" s="27" t="s">
        <v>2571</v>
      </c>
      <c r="B185" s="27" t="s">
        <v>328</v>
      </c>
      <c r="C185">
        <v>2.76</v>
      </c>
      <c r="D185">
        <v>2.64</v>
      </c>
      <c r="E185">
        <v>-4.3499999999999996</v>
      </c>
    </row>
    <row r="186" spans="1:5" x14ac:dyDescent="0.3">
      <c r="A186" s="27" t="s">
        <v>2572</v>
      </c>
      <c r="B186" s="27" t="s">
        <v>29</v>
      </c>
      <c r="C186">
        <v>28.1</v>
      </c>
      <c r="D186">
        <v>26.9</v>
      </c>
      <c r="E186">
        <v>-4.2699999999999996</v>
      </c>
    </row>
    <row r="187" spans="1:5" x14ac:dyDescent="0.3">
      <c r="A187" s="27" t="s">
        <v>2573</v>
      </c>
      <c r="B187" s="27" t="s">
        <v>33</v>
      </c>
      <c r="C187">
        <v>36.299999999999997</v>
      </c>
      <c r="D187">
        <v>34.75</v>
      </c>
      <c r="E187">
        <v>-4.2699999999999996</v>
      </c>
    </row>
    <row r="188" spans="1:5" x14ac:dyDescent="0.3">
      <c r="A188" s="27" t="s">
        <v>2574</v>
      </c>
      <c r="B188" s="27" t="s">
        <v>33</v>
      </c>
      <c r="C188">
        <v>41.25</v>
      </c>
      <c r="D188">
        <v>39.5</v>
      </c>
      <c r="E188">
        <v>-4.24</v>
      </c>
    </row>
    <row r="189" spans="1:5" x14ac:dyDescent="0.3">
      <c r="A189" s="27" t="s">
        <v>2575</v>
      </c>
      <c r="B189" s="27" t="s">
        <v>35</v>
      </c>
      <c r="C189">
        <v>3.07</v>
      </c>
      <c r="D189">
        <v>2.94</v>
      </c>
      <c r="E189">
        <v>-4.2300000000000004</v>
      </c>
    </row>
    <row r="190" spans="1:5" x14ac:dyDescent="0.3">
      <c r="A190" s="27" t="s">
        <v>2576</v>
      </c>
      <c r="B190" s="27" t="s">
        <v>33</v>
      </c>
      <c r="C190">
        <v>54.4</v>
      </c>
      <c r="D190">
        <v>52.1</v>
      </c>
      <c r="E190">
        <v>-4.2300000000000004</v>
      </c>
    </row>
    <row r="191" spans="1:5" x14ac:dyDescent="0.3">
      <c r="A191" s="27" t="s">
        <v>2577</v>
      </c>
      <c r="B191" s="27" t="s">
        <v>11</v>
      </c>
      <c r="C191">
        <v>226.55</v>
      </c>
      <c r="D191">
        <v>217</v>
      </c>
      <c r="E191">
        <v>-4.22</v>
      </c>
    </row>
    <row r="192" spans="1:5" x14ac:dyDescent="0.3">
      <c r="A192" s="27" t="s">
        <v>2578</v>
      </c>
      <c r="B192" s="27" t="s">
        <v>11</v>
      </c>
      <c r="C192">
        <v>55.85</v>
      </c>
      <c r="D192">
        <v>53.5</v>
      </c>
      <c r="E192">
        <v>-4.21</v>
      </c>
    </row>
    <row r="193" spans="1:5" x14ac:dyDescent="0.3">
      <c r="A193" s="27" t="s">
        <v>2579</v>
      </c>
      <c r="B193" s="27" t="s">
        <v>33</v>
      </c>
      <c r="C193">
        <v>3.8</v>
      </c>
      <c r="D193">
        <v>3.64</v>
      </c>
      <c r="E193">
        <v>-4.21</v>
      </c>
    </row>
    <row r="194" spans="1:5" x14ac:dyDescent="0.3">
      <c r="A194" s="27" t="s">
        <v>2580</v>
      </c>
      <c r="B194" s="27" t="s">
        <v>328</v>
      </c>
      <c r="C194">
        <v>2.61</v>
      </c>
      <c r="D194">
        <v>2.5</v>
      </c>
      <c r="E194">
        <v>-4.21</v>
      </c>
    </row>
    <row r="195" spans="1:5" x14ac:dyDescent="0.3">
      <c r="A195" s="27" t="s">
        <v>2581</v>
      </c>
      <c r="B195" s="27" t="s">
        <v>11</v>
      </c>
      <c r="C195">
        <v>1.19</v>
      </c>
      <c r="D195">
        <v>1.1399999999999999</v>
      </c>
      <c r="E195">
        <v>-4.2</v>
      </c>
    </row>
    <row r="196" spans="1:5" x14ac:dyDescent="0.3">
      <c r="A196" s="27" t="s">
        <v>2582</v>
      </c>
      <c r="B196" s="27" t="s">
        <v>11</v>
      </c>
      <c r="C196">
        <v>8.6</v>
      </c>
      <c r="D196">
        <v>8.24</v>
      </c>
      <c r="E196">
        <v>-4.1900000000000004</v>
      </c>
    </row>
    <row r="197" spans="1:5" x14ac:dyDescent="0.3">
      <c r="A197" s="27" t="s">
        <v>2583</v>
      </c>
      <c r="B197" s="27" t="s">
        <v>10</v>
      </c>
      <c r="C197">
        <v>37</v>
      </c>
      <c r="D197">
        <v>35.450000000000003</v>
      </c>
      <c r="E197">
        <v>-4.1900000000000004</v>
      </c>
    </row>
    <row r="198" spans="1:5" x14ac:dyDescent="0.3">
      <c r="A198" s="27" t="s">
        <v>2584</v>
      </c>
      <c r="B198" s="27" t="s">
        <v>33</v>
      </c>
      <c r="C198">
        <v>0.72</v>
      </c>
      <c r="D198">
        <v>0.69</v>
      </c>
      <c r="E198">
        <v>-4.17</v>
      </c>
    </row>
    <row r="199" spans="1:5" x14ac:dyDescent="0.3">
      <c r="A199" s="27" t="s">
        <v>2585</v>
      </c>
      <c r="B199" s="27" t="s">
        <v>328</v>
      </c>
      <c r="C199">
        <v>9.39</v>
      </c>
      <c r="D199">
        <v>9</v>
      </c>
      <c r="E199">
        <v>-4.1500000000000004</v>
      </c>
    </row>
    <row r="200" spans="1:5" x14ac:dyDescent="0.3">
      <c r="A200" s="27" t="s">
        <v>2586</v>
      </c>
      <c r="B200" s="27" t="s">
        <v>33</v>
      </c>
      <c r="C200">
        <v>56.65</v>
      </c>
      <c r="D200">
        <v>54.3</v>
      </c>
      <c r="E200">
        <v>-4.1500000000000004</v>
      </c>
    </row>
    <row r="201" spans="1:5" x14ac:dyDescent="0.3">
      <c r="A201" s="27" t="s">
        <v>2587</v>
      </c>
      <c r="B201" s="27" t="s">
        <v>33</v>
      </c>
      <c r="C201">
        <v>2.1800000000000002</v>
      </c>
      <c r="D201">
        <v>2.09</v>
      </c>
      <c r="E201">
        <v>-4.13</v>
      </c>
    </row>
    <row r="202" spans="1:5" x14ac:dyDescent="0.3">
      <c r="A202" s="27" t="s">
        <v>2588</v>
      </c>
      <c r="B202" s="27" t="s">
        <v>11</v>
      </c>
      <c r="C202">
        <v>2.69</v>
      </c>
      <c r="D202">
        <v>2.58</v>
      </c>
      <c r="E202">
        <v>-4.09</v>
      </c>
    </row>
    <row r="203" spans="1:5" x14ac:dyDescent="0.3">
      <c r="A203" s="27" t="s">
        <v>2589</v>
      </c>
      <c r="B203" s="27" t="s">
        <v>35</v>
      </c>
      <c r="C203">
        <v>5.89</v>
      </c>
      <c r="D203">
        <v>5.65</v>
      </c>
      <c r="E203">
        <v>-4.07</v>
      </c>
    </row>
    <row r="204" spans="1:5" x14ac:dyDescent="0.3">
      <c r="A204" s="27" t="s">
        <v>2590</v>
      </c>
      <c r="B204" s="27" t="s">
        <v>33</v>
      </c>
      <c r="C204">
        <v>30.95</v>
      </c>
      <c r="D204">
        <v>29.7</v>
      </c>
      <c r="E204">
        <v>-4.04</v>
      </c>
    </row>
    <row r="205" spans="1:5" x14ac:dyDescent="0.3">
      <c r="A205" s="27" t="s">
        <v>2591</v>
      </c>
      <c r="B205" s="27" t="s">
        <v>33</v>
      </c>
      <c r="C205">
        <v>22.4</v>
      </c>
      <c r="D205">
        <v>21.5</v>
      </c>
      <c r="E205">
        <v>-4.0199999999999996</v>
      </c>
    </row>
    <row r="206" spans="1:5" x14ac:dyDescent="0.3">
      <c r="A206" s="27" t="s">
        <v>2592</v>
      </c>
      <c r="B206" s="27" t="s">
        <v>10</v>
      </c>
      <c r="C206">
        <v>78.5</v>
      </c>
      <c r="D206">
        <v>75.349999999999994</v>
      </c>
      <c r="E206">
        <v>-4.01</v>
      </c>
    </row>
    <row r="207" spans="1:5" x14ac:dyDescent="0.3">
      <c r="A207" s="27" t="s">
        <v>2593</v>
      </c>
      <c r="B207" s="27" t="s">
        <v>33</v>
      </c>
      <c r="C207">
        <v>0.5</v>
      </c>
      <c r="D207">
        <v>0.48</v>
      </c>
      <c r="E207">
        <v>-4</v>
      </c>
    </row>
    <row r="208" spans="1:5" x14ac:dyDescent="0.3">
      <c r="A208" s="27" t="s">
        <v>2594</v>
      </c>
      <c r="B208" s="27" t="s">
        <v>33</v>
      </c>
      <c r="C208">
        <v>18.8</v>
      </c>
      <c r="D208">
        <v>18.05</v>
      </c>
      <c r="E208">
        <v>-3.99</v>
      </c>
    </row>
    <row r="209" spans="1:5" x14ac:dyDescent="0.3">
      <c r="A209" s="27" t="s">
        <v>2595</v>
      </c>
      <c r="B209" s="27" t="s">
        <v>10</v>
      </c>
      <c r="C209">
        <v>1464.85</v>
      </c>
      <c r="D209">
        <v>1406.6</v>
      </c>
      <c r="E209">
        <v>-3.98</v>
      </c>
    </row>
    <row r="210" spans="1:5" x14ac:dyDescent="0.3">
      <c r="A210" s="27" t="s">
        <v>2596</v>
      </c>
      <c r="B210" s="27" t="s">
        <v>33</v>
      </c>
      <c r="C210">
        <v>26.6</v>
      </c>
      <c r="D210">
        <v>25.55</v>
      </c>
      <c r="E210">
        <v>-3.95</v>
      </c>
    </row>
    <row r="211" spans="1:5" x14ac:dyDescent="0.3">
      <c r="A211" s="27" t="s">
        <v>2597</v>
      </c>
      <c r="B211" s="27" t="s">
        <v>35</v>
      </c>
      <c r="C211">
        <v>0.76</v>
      </c>
      <c r="D211">
        <v>0.73</v>
      </c>
      <c r="E211">
        <v>-3.95</v>
      </c>
    </row>
    <row r="212" spans="1:5" x14ac:dyDescent="0.3">
      <c r="A212" s="27" t="s">
        <v>2598</v>
      </c>
      <c r="B212" s="27" t="s">
        <v>33</v>
      </c>
      <c r="C212">
        <v>0.76</v>
      </c>
      <c r="D212">
        <v>0.73</v>
      </c>
      <c r="E212">
        <v>-3.95</v>
      </c>
    </row>
    <row r="213" spans="1:5" x14ac:dyDescent="0.3">
      <c r="A213" s="27" t="s">
        <v>2599</v>
      </c>
      <c r="B213" s="27" t="s">
        <v>33</v>
      </c>
      <c r="C213">
        <v>29.45</v>
      </c>
      <c r="D213">
        <v>28.3</v>
      </c>
      <c r="E213">
        <v>-3.9</v>
      </c>
    </row>
    <row r="214" spans="1:5" x14ac:dyDescent="0.3">
      <c r="A214" s="27" t="s">
        <v>2600</v>
      </c>
      <c r="B214" s="27" t="s">
        <v>328</v>
      </c>
      <c r="C214">
        <v>38.5</v>
      </c>
      <c r="D214">
        <v>37</v>
      </c>
      <c r="E214">
        <v>-3.9</v>
      </c>
    </row>
    <row r="215" spans="1:5" x14ac:dyDescent="0.3">
      <c r="A215" s="27" t="s">
        <v>2601</v>
      </c>
      <c r="B215" s="27" t="s">
        <v>10</v>
      </c>
      <c r="C215">
        <v>8.2100000000000009</v>
      </c>
      <c r="D215">
        <v>7.89</v>
      </c>
      <c r="E215">
        <v>-3.9</v>
      </c>
    </row>
    <row r="216" spans="1:5" x14ac:dyDescent="0.3">
      <c r="A216" s="27" t="s">
        <v>2602</v>
      </c>
      <c r="B216" s="27" t="s">
        <v>22</v>
      </c>
      <c r="C216">
        <v>9</v>
      </c>
      <c r="D216">
        <v>8.65</v>
      </c>
      <c r="E216">
        <v>-3.89</v>
      </c>
    </row>
    <row r="217" spans="1:5" x14ac:dyDescent="0.3">
      <c r="A217" s="27" t="s">
        <v>2603</v>
      </c>
      <c r="B217" s="27" t="s">
        <v>328</v>
      </c>
      <c r="C217">
        <v>29.55</v>
      </c>
      <c r="D217">
        <v>28.4</v>
      </c>
      <c r="E217">
        <v>-3.89</v>
      </c>
    </row>
    <row r="218" spans="1:5" x14ac:dyDescent="0.3">
      <c r="A218" s="27" t="s">
        <v>2604</v>
      </c>
      <c r="B218" s="27" t="s">
        <v>33</v>
      </c>
      <c r="C218">
        <v>145.75</v>
      </c>
      <c r="D218">
        <v>140.1</v>
      </c>
      <c r="E218">
        <v>-3.88</v>
      </c>
    </row>
    <row r="219" spans="1:5" x14ac:dyDescent="0.3">
      <c r="A219" s="27" t="s">
        <v>2605</v>
      </c>
      <c r="B219" s="27" t="s">
        <v>22</v>
      </c>
      <c r="C219">
        <v>170</v>
      </c>
      <c r="D219">
        <v>163.4</v>
      </c>
      <c r="E219">
        <v>-3.88</v>
      </c>
    </row>
    <row r="220" spans="1:5" x14ac:dyDescent="0.3">
      <c r="A220" s="27" t="s">
        <v>2606</v>
      </c>
      <c r="B220" s="27" t="s">
        <v>29</v>
      </c>
      <c r="C220">
        <v>7</v>
      </c>
      <c r="D220">
        <v>6.73</v>
      </c>
      <c r="E220">
        <v>-3.86</v>
      </c>
    </row>
    <row r="221" spans="1:5" x14ac:dyDescent="0.3">
      <c r="A221" s="27" t="s">
        <v>2607</v>
      </c>
      <c r="B221" s="27" t="s">
        <v>33</v>
      </c>
      <c r="C221">
        <v>1.82</v>
      </c>
      <c r="D221">
        <v>1.75</v>
      </c>
      <c r="E221">
        <v>-3.85</v>
      </c>
    </row>
    <row r="222" spans="1:5" x14ac:dyDescent="0.3">
      <c r="A222" s="27" t="s">
        <v>2608</v>
      </c>
      <c r="B222" s="27" t="s">
        <v>29</v>
      </c>
      <c r="C222">
        <v>9.14</v>
      </c>
      <c r="D222">
        <v>8.7899999999999991</v>
      </c>
      <c r="E222">
        <v>-3.83</v>
      </c>
    </row>
    <row r="223" spans="1:5" x14ac:dyDescent="0.3">
      <c r="A223" s="27" t="s">
        <v>2609</v>
      </c>
      <c r="B223" s="27" t="s">
        <v>33</v>
      </c>
      <c r="C223">
        <v>22.35</v>
      </c>
      <c r="D223">
        <v>21.5</v>
      </c>
      <c r="E223">
        <v>-3.8</v>
      </c>
    </row>
    <row r="224" spans="1:5" x14ac:dyDescent="0.3">
      <c r="A224" s="27" t="s">
        <v>2610</v>
      </c>
      <c r="B224" s="27" t="s">
        <v>11</v>
      </c>
      <c r="C224">
        <v>26.35</v>
      </c>
      <c r="D224">
        <v>25.35</v>
      </c>
      <c r="E224">
        <v>-3.8</v>
      </c>
    </row>
    <row r="225" spans="1:5" x14ac:dyDescent="0.3">
      <c r="A225" s="27" t="s">
        <v>2611</v>
      </c>
      <c r="B225" s="27" t="s">
        <v>11</v>
      </c>
      <c r="C225">
        <v>2.39</v>
      </c>
      <c r="D225">
        <v>2.2999999999999998</v>
      </c>
      <c r="E225">
        <v>-3.77</v>
      </c>
    </row>
    <row r="226" spans="1:5" x14ac:dyDescent="0.3">
      <c r="A226" s="27" t="s">
        <v>2612</v>
      </c>
      <c r="B226" s="27" t="s">
        <v>22</v>
      </c>
      <c r="C226">
        <v>53</v>
      </c>
      <c r="D226">
        <v>51</v>
      </c>
      <c r="E226">
        <v>-3.77</v>
      </c>
    </row>
    <row r="227" spans="1:5" x14ac:dyDescent="0.3">
      <c r="A227" s="27" t="s">
        <v>2613</v>
      </c>
      <c r="B227" s="27" t="s">
        <v>33</v>
      </c>
      <c r="C227">
        <v>0.53</v>
      </c>
      <c r="D227">
        <v>0.51</v>
      </c>
      <c r="E227">
        <v>-3.77</v>
      </c>
    </row>
    <row r="228" spans="1:5" x14ac:dyDescent="0.3">
      <c r="A228" s="27" t="s">
        <v>2614</v>
      </c>
      <c r="B228" s="27" t="s">
        <v>33</v>
      </c>
      <c r="C228">
        <v>24</v>
      </c>
      <c r="D228">
        <v>23.1</v>
      </c>
      <c r="E228">
        <v>-3.75</v>
      </c>
    </row>
    <row r="229" spans="1:5" x14ac:dyDescent="0.3">
      <c r="A229" s="27" t="s">
        <v>2615</v>
      </c>
      <c r="B229" s="27" t="s">
        <v>33</v>
      </c>
      <c r="C229">
        <v>21.5</v>
      </c>
      <c r="D229">
        <v>20.7</v>
      </c>
      <c r="E229">
        <v>-3.72</v>
      </c>
    </row>
    <row r="230" spans="1:5" x14ac:dyDescent="0.3">
      <c r="A230" s="27" t="s">
        <v>2616</v>
      </c>
      <c r="B230" s="27" t="s">
        <v>29</v>
      </c>
      <c r="C230">
        <v>20.149999999999999</v>
      </c>
      <c r="D230">
        <v>19.399999999999999</v>
      </c>
      <c r="E230">
        <v>-3.72</v>
      </c>
    </row>
    <row r="231" spans="1:5" x14ac:dyDescent="0.3">
      <c r="A231" s="27" t="s">
        <v>2617</v>
      </c>
      <c r="B231" s="27" t="s">
        <v>11</v>
      </c>
      <c r="C231">
        <v>44.55</v>
      </c>
      <c r="D231">
        <v>42.9</v>
      </c>
      <c r="E231">
        <v>-3.7</v>
      </c>
    </row>
    <row r="232" spans="1:5" x14ac:dyDescent="0.3">
      <c r="A232" s="27" t="s">
        <v>2618</v>
      </c>
      <c r="B232" s="27" t="s">
        <v>33</v>
      </c>
      <c r="C232">
        <v>27</v>
      </c>
      <c r="D232">
        <v>26</v>
      </c>
      <c r="E232">
        <v>-3.7</v>
      </c>
    </row>
    <row r="233" spans="1:5" x14ac:dyDescent="0.3">
      <c r="A233" s="27" t="s">
        <v>2619</v>
      </c>
      <c r="B233" s="27" t="s">
        <v>33</v>
      </c>
      <c r="C233">
        <v>25.65</v>
      </c>
      <c r="D233">
        <v>24.7</v>
      </c>
      <c r="E233">
        <v>-3.7</v>
      </c>
    </row>
    <row r="234" spans="1:5" x14ac:dyDescent="0.3">
      <c r="A234" s="27" t="s">
        <v>2620</v>
      </c>
      <c r="B234" s="27" t="s">
        <v>33</v>
      </c>
      <c r="C234">
        <v>0.54</v>
      </c>
      <c r="D234">
        <v>0.52</v>
      </c>
      <c r="E234">
        <v>-3.7</v>
      </c>
    </row>
    <row r="235" spans="1:5" x14ac:dyDescent="0.3">
      <c r="A235" s="27" t="s">
        <v>2621</v>
      </c>
      <c r="B235" s="27" t="s">
        <v>33</v>
      </c>
      <c r="C235">
        <v>27</v>
      </c>
      <c r="D235">
        <v>26</v>
      </c>
      <c r="E235">
        <v>-3.7</v>
      </c>
    </row>
    <row r="236" spans="1:5" x14ac:dyDescent="0.3">
      <c r="A236" s="27" t="s">
        <v>2622</v>
      </c>
      <c r="B236" s="27" t="s">
        <v>11</v>
      </c>
      <c r="C236">
        <v>17.600000000000001</v>
      </c>
      <c r="D236">
        <v>16.95</v>
      </c>
      <c r="E236">
        <v>-3.69</v>
      </c>
    </row>
    <row r="237" spans="1:5" x14ac:dyDescent="0.3">
      <c r="A237" s="27" t="s">
        <v>2623</v>
      </c>
      <c r="B237" s="27" t="s">
        <v>11</v>
      </c>
      <c r="C237">
        <v>36.6</v>
      </c>
      <c r="D237">
        <v>35.25</v>
      </c>
      <c r="E237">
        <v>-3.69</v>
      </c>
    </row>
    <row r="238" spans="1:5" x14ac:dyDescent="0.3">
      <c r="A238" s="27" t="s">
        <v>2624</v>
      </c>
      <c r="B238" s="27" t="s">
        <v>29</v>
      </c>
      <c r="C238">
        <v>70.400000000000006</v>
      </c>
      <c r="D238">
        <v>67.8</v>
      </c>
      <c r="E238">
        <v>-3.69</v>
      </c>
    </row>
    <row r="239" spans="1:5" x14ac:dyDescent="0.3">
      <c r="A239" s="27" t="s">
        <v>2625</v>
      </c>
      <c r="B239" s="27" t="s">
        <v>328</v>
      </c>
      <c r="C239">
        <v>34</v>
      </c>
      <c r="D239">
        <v>32.75</v>
      </c>
      <c r="E239">
        <v>-3.68</v>
      </c>
    </row>
    <row r="240" spans="1:5" x14ac:dyDescent="0.3">
      <c r="A240" s="27" t="s">
        <v>2626</v>
      </c>
      <c r="B240" s="27" t="s">
        <v>29</v>
      </c>
      <c r="C240">
        <v>12.7</v>
      </c>
      <c r="D240">
        <v>12.24</v>
      </c>
      <c r="E240">
        <v>-3.62</v>
      </c>
    </row>
    <row r="241" spans="1:5" x14ac:dyDescent="0.3">
      <c r="A241" s="27" t="s">
        <v>2627</v>
      </c>
      <c r="B241" s="27" t="s">
        <v>328</v>
      </c>
      <c r="C241">
        <v>4.1500000000000004</v>
      </c>
      <c r="D241">
        <v>4</v>
      </c>
      <c r="E241">
        <v>-3.61</v>
      </c>
    </row>
    <row r="242" spans="1:5" x14ac:dyDescent="0.3">
      <c r="A242" s="27" t="s">
        <v>2628</v>
      </c>
      <c r="B242" s="27" t="s">
        <v>33</v>
      </c>
      <c r="C242">
        <v>0.28000000000000003</v>
      </c>
      <c r="D242">
        <v>0.27</v>
      </c>
      <c r="E242">
        <v>-3.57</v>
      </c>
    </row>
    <row r="243" spans="1:5" x14ac:dyDescent="0.3">
      <c r="A243" s="27" t="s">
        <v>2629</v>
      </c>
      <c r="B243" s="27" t="s">
        <v>33</v>
      </c>
      <c r="C243">
        <v>6.44</v>
      </c>
      <c r="D243">
        <v>6.21</v>
      </c>
      <c r="E243">
        <v>-3.57</v>
      </c>
    </row>
    <row r="244" spans="1:5" x14ac:dyDescent="0.3">
      <c r="A244" s="27" t="s">
        <v>2630</v>
      </c>
      <c r="B244" s="27" t="s">
        <v>11</v>
      </c>
      <c r="C244">
        <v>2.8</v>
      </c>
      <c r="D244">
        <v>2.7</v>
      </c>
      <c r="E244">
        <v>-3.57</v>
      </c>
    </row>
    <row r="245" spans="1:5" x14ac:dyDescent="0.3">
      <c r="A245" s="27" t="s">
        <v>2631</v>
      </c>
      <c r="B245" s="27" t="s">
        <v>29</v>
      </c>
      <c r="C245">
        <v>1.1200000000000001</v>
      </c>
      <c r="D245">
        <v>1.08</v>
      </c>
      <c r="E245">
        <v>-3.57</v>
      </c>
    </row>
    <row r="246" spans="1:5" x14ac:dyDescent="0.3">
      <c r="A246" s="27" t="s">
        <v>2632</v>
      </c>
      <c r="B246" s="27" t="s">
        <v>33</v>
      </c>
      <c r="C246">
        <v>440.7</v>
      </c>
      <c r="D246">
        <v>425</v>
      </c>
      <c r="E246">
        <v>-3.56</v>
      </c>
    </row>
    <row r="247" spans="1:5" x14ac:dyDescent="0.3">
      <c r="A247" s="27" t="s">
        <v>2633</v>
      </c>
      <c r="B247" s="27" t="s">
        <v>29</v>
      </c>
      <c r="C247">
        <v>83.35</v>
      </c>
      <c r="D247">
        <v>80.400000000000006</v>
      </c>
      <c r="E247">
        <v>-3.54</v>
      </c>
    </row>
    <row r="248" spans="1:5" x14ac:dyDescent="0.3">
      <c r="A248" s="27" t="s">
        <v>2634</v>
      </c>
      <c r="B248" s="27" t="s">
        <v>33</v>
      </c>
      <c r="C248">
        <v>31.1</v>
      </c>
      <c r="D248">
        <v>30</v>
      </c>
      <c r="E248">
        <v>-3.54</v>
      </c>
    </row>
    <row r="249" spans="1:5" x14ac:dyDescent="0.3">
      <c r="A249" s="27" t="s">
        <v>2635</v>
      </c>
      <c r="B249" s="27" t="s">
        <v>33</v>
      </c>
      <c r="C249">
        <v>112.3</v>
      </c>
      <c r="D249">
        <v>108.35</v>
      </c>
      <c r="E249">
        <v>-3.52</v>
      </c>
    </row>
    <row r="250" spans="1:5" x14ac:dyDescent="0.3">
      <c r="A250" s="27" t="s">
        <v>2636</v>
      </c>
      <c r="B250" s="27" t="s">
        <v>328</v>
      </c>
      <c r="C250">
        <v>0.56999999999999995</v>
      </c>
      <c r="D250">
        <v>0.55000000000000004</v>
      </c>
      <c r="E250">
        <v>-3.51</v>
      </c>
    </row>
    <row r="251" spans="1:5" x14ac:dyDescent="0.3">
      <c r="A251" s="27" t="s">
        <v>2637</v>
      </c>
      <c r="B251" s="27" t="s">
        <v>11</v>
      </c>
      <c r="C251">
        <v>25.7</v>
      </c>
      <c r="D251">
        <v>24.8</v>
      </c>
      <c r="E251">
        <v>-3.5</v>
      </c>
    </row>
    <row r="252" spans="1:5" x14ac:dyDescent="0.3">
      <c r="A252" s="27" t="s">
        <v>2638</v>
      </c>
      <c r="B252" s="27" t="s">
        <v>11</v>
      </c>
      <c r="C252">
        <v>4.6100000000000003</v>
      </c>
      <c r="D252">
        <v>4.45</v>
      </c>
      <c r="E252">
        <v>-3.47</v>
      </c>
    </row>
    <row r="253" spans="1:5" x14ac:dyDescent="0.3">
      <c r="A253" s="27" t="s">
        <v>2639</v>
      </c>
      <c r="B253" s="27" t="s">
        <v>328</v>
      </c>
      <c r="C253">
        <v>0.87</v>
      </c>
      <c r="D253">
        <v>0.84</v>
      </c>
      <c r="E253">
        <v>-3.45</v>
      </c>
    </row>
    <row r="254" spans="1:5" x14ac:dyDescent="0.3">
      <c r="A254" s="27" t="s">
        <v>2640</v>
      </c>
      <c r="B254" s="27" t="s">
        <v>33</v>
      </c>
      <c r="C254">
        <v>21.9</v>
      </c>
      <c r="D254">
        <v>21.15</v>
      </c>
      <c r="E254">
        <v>-3.42</v>
      </c>
    </row>
    <row r="255" spans="1:5" x14ac:dyDescent="0.3">
      <c r="A255" s="27" t="s">
        <v>2641</v>
      </c>
      <c r="B255" s="27" t="s">
        <v>11</v>
      </c>
      <c r="C255">
        <v>7.34</v>
      </c>
      <c r="D255">
        <v>7.09</v>
      </c>
      <c r="E255">
        <v>-3.41</v>
      </c>
    </row>
    <row r="256" spans="1:5" x14ac:dyDescent="0.3">
      <c r="A256" s="27" t="s">
        <v>2642</v>
      </c>
      <c r="B256" s="27" t="s">
        <v>11</v>
      </c>
      <c r="C256">
        <v>17.600000000000001</v>
      </c>
      <c r="D256">
        <v>17</v>
      </c>
      <c r="E256">
        <v>-3.41</v>
      </c>
    </row>
    <row r="257" spans="1:5" x14ac:dyDescent="0.3">
      <c r="A257" s="27" t="s">
        <v>2643</v>
      </c>
      <c r="B257" s="27" t="s">
        <v>33</v>
      </c>
      <c r="C257">
        <v>8.8000000000000007</v>
      </c>
      <c r="D257">
        <v>8.5</v>
      </c>
      <c r="E257">
        <v>-3.41</v>
      </c>
    </row>
    <row r="258" spans="1:5" x14ac:dyDescent="0.3">
      <c r="A258" s="27" t="s">
        <v>2644</v>
      </c>
      <c r="B258" s="27" t="s">
        <v>33</v>
      </c>
      <c r="C258">
        <v>19.25</v>
      </c>
      <c r="D258">
        <v>18.600000000000001</v>
      </c>
      <c r="E258">
        <v>-3.38</v>
      </c>
    </row>
    <row r="259" spans="1:5" x14ac:dyDescent="0.3">
      <c r="A259" s="27" t="s">
        <v>2645</v>
      </c>
      <c r="B259" s="27" t="s">
        <v>328</v>
      </c>
      <c r="C259">
        <v>19.350000000000001</v>
      </c>
      <c r="D259">
        <v>18.7</v>
      </c>
      <c r="E259">
        <v>-3.36</v>
      </c>
    </row>
    <row r="260" spans="1:5" x14ac:dyDescent="0.3">
      <c r="A260" s="27" t="s">
        <v>2646</v>
      </c>
      <c r="B260" s="27" t="s">
        <v>33</v>
      </c>
      <c r="C260">
        <v>40.200000000000003</v>
      </c>
      <c r="D260">
        <v>38.85</v>
      </c>
      <c r="E260">
        <v>-3.36</v>
      </c>
    </row>
    <row r="261" spans="1:5" x14ac:dyDescent="0.3">
      <c r="A261" s="27" t="s">
        <v>2647</v>
      </c>
      <c r="B261" s="27" t="s">
        <v>29</v>
      </c>
      <c r="C261">
        <v>14.64</v>
      </c>
      <c r="D261">
        <v>14.15</v>
      </c>
      <c r="E261">
        <v>-3.35</v>
      </c>
    </row>
    <row r="262" spans="1:5" x14ac:dyDescent="0.3">
      <c r="A262" s="27" t="s">
        <v>2648</v>
      </c>
      <c r="B262" s="27" t="s">
        <v>10</v>
      </c>
      <c r="C262">
        <v>182.45</v>
      </c>
      <c r="D262">
        <v>176.35</v>
      </c>
      <c r="E262">
        <v>-3.34</v>
      </c>
    </row>
    <row r="263" spans="1:5" x14ac:dyDescent="0.3">
      <c r="A263" s="27" t="s">
        <v>2649</v>
      </c>
      <c r="B263" s="27" t="s">
        <v>10</v>
      </c>
      <c r="C263">
        <v>262.75</v>
      </c>
      <c r="D263">
        <v>254</v>
      </c>
      <c r="E263">
        <v>-3.33</v>
      </c>
    </row>
    <row r="264" spans="1:5" x14ac:dyDescent="0.3">
      <c r="A264" s="27" t="s">
        <v>2650</v>
      </c>
      <c r="B264" s="27" t="s">
        <v>35</v>
      </c>
      <c r="C264">
        <v>0.3</v>
      </c>
      <c r="D264">
        <v>0.28999999999999998</v>
      </c>
      <c r="E264">
        <v>-3.33</v>
      </c>
    </row>
    <row r="265" spans="1:5" x14ac:dyDescent="0.3">
      <c r="A265" s="27" t="s">
        <v>2651</v>
      </c>
      <c r="B265" s="27" t="s">
        <v>29</v>
      </c>
      <c r="C265">
        <v>3</v>
      </c>
      <c r="D265">
        <v>2.9</v>
      </c>
      <c r="E265">
        <v>-3.33</v>
      </c>
    </row>
    <row r="266" spans="1:5" x14ac:dyDescent="0.3">
      <c r="A266" s="27" t="s">
        <v>2652</v>
      </c>
      <c r="B266" s="27" t="s">
        <v>33</v>
      </c>
      <c r="C266">
        <v>0.3</v>
      </c>
      <c r="D266">
        <v>0.28999999999999998</v>
      </c>
      <c r="E266">
        <v>-3.33</v>
      </c>
    </row>
    <row r="267" spans="1:5" x14ac:dyDescent="0.3">
      <c r="A267" s="27" t="s">
        <v>2653</v>
      </c>
      <c r="B267" s="27" t="s">
        <v>29</v>
      </c>
      <c r="C267">
        <v>9.0500000000000007</v>
      </c>
      <c r="D267">
        <v>8.75</v>
      </c>
      <c r="E267">
        <v>-3.31</v>
      </c>
    </row>
    <row r="268" spans="1:5" x14ac:dyDescent="0.3">
      <c r="A268" s="27" t="s">
        <v>2654</v>
      </c>
      <c r="B268" s="27" t="s">
        <v>33</v>
      </c>
      <c r="C268">
        <v>1.81</v>
      </c>
      <c r="D268">
        <v>1.75</v>
      </c>
      <c r="E268">
        <v>-3.31</v>
      </c>
    </row>
    <row r="269" spans="1:5" x14ac:dyDescent="0.3">
      <c r="A269" s="27" t="s">
        <v>2655</v>
      </c>
      <c r="B269" s="27" t="s">
        <v>33</v>
      </c>
      <c r="C269">
        <v>124.1</v>
      </c>
      <c r="D269">
        <v>120</v>
      </c>
      <c r="E269">
        <v>-3.3</v>
      </c>
    </row>
    <row r="270" spans="1:5" x14ac:dyDescent="0.3">
      <c r="A270" s="27" t="s">
        <v>2656</v>
      </c>
      <c r="B270" s="27" t="s">
        <v>35</v>
      </c>
      <c r="C270">
        <v>1.85</v>
      </c>
      <c r="D270">
        <v>1.79</v>
      </c>
      <c r="E270">
        <v>-3.24</v>
      </c>
    </row>
    <row r="271" spans="1:5" x14ac:dyDescent="0.3">
      <c r="A271" s="27" t="s">
        <v>2657</v>
      </c>
      <c r="B271" s="27" t="s">
        <v>328</v>
      </c>
      <c r="C271">
        <v>0.93</v>
      </c>
      <c r="D271">
        <v>0.9</v>
      </c>
      <c r="E271">
        <v>-3.23</v>
      </c>
    </row>
    <row r="272" spans="1:5" x14ac:dyDescent="0.3">
      <c r="A272" s="27" t="s">
        <v>2658</v>
      </c>
      <c r="B272" s="27" t="s">
        <v>11</v>
      </c>
      <c r="C272">
        <v>75.849999999999994</v>
      </c>
      <c r="D272">
        <v>73.400000000000006</v>
      </c>
      <c r="E272">
        <v>-3.23</v>
      </c>
    </row>
    <row r="273" spans="1:5" x14ac:dyDescent="0.3">
      <c r="A273" s="27" t="s">
        <v>2659</v>
      </c>
      <c r="B273" s="27" t="s">
        <v>11</v>
      </c>
      <c r="C273">
        <v>18.55</v>
      </c>
      <c r="D273">
        <v>17.95</v>
      </c>
      <c r="E273">
        <v>-3.23</v>
      </c>
    </row>
    <row r="274" spans="1:5" x14ac:dyDescent="0.3">
      <c r="A274" s="27" t="s">
        <v>2660</v>
      </c>
      <c r="B274" s="27" t="s">
        <v>11</v>
      </c>
      <c r="C274">
        <v>5.92</v>
      </c>
      <c r="D274">
        <v>5.73</v>
      </c>
      <c r="E274">
        <v>-3.21</v>
      </c>
    </row>
    <row r="275" spans="1:5" x14ac:dyDescent="0.3">
      <c r="A275" s="27" t="s">
        <v>2661</v>
      </c>
      <c r="B275" s="27" t="s">
        <v>11</v>
      </c>
      <c r="C275">
        <v>11.87</v>
      </c>
      <c r="D275">
        <v>11.49</v>
      </c>
      <c r="E275">
        <v>-3.2</v>
      </c>
    </row>
    <row r="276" spans="1:5" x14ac:dyDescent="0.3">
      <c r="A276" s="27" t="s">
        <v>2662</v>
      </c>
      <c r="B276" s="27" t="s">
        <v>11</v>
      </c>
      <c r="C276">
        <v>0.94</v>
      </c>
      <c r="D276">
        <v>0.91</v>
      </c>
      <c r="E276">
        <v>-3.19</v>
      </c>
    </row>
    <row r="277" spans="1:5" x14ac:dyDescent="0.3">
      <c r="A277" s="27" t="s">
        <v>2663</v>
      </c>
      <c r="B277" s="27" t="s">
        <v>22</v>
      </c>
      <c r="C277">
        <v>80</v>
      </c>
      <c r="D277">
        <v>77.45</v>
      </c>
      <c r="E277">
        <v>-3.19</v>
      </c>
    </row>
    <row r="278" spans="1:5" x14ac:dyDescent="0.3">
      <c r="A278" s="27" t="s">
        <v>2664</v>
      </c>
      <c r="B278" s="27" t="s">
        <v>33</v>
      </c>
      <c r="C278">
        <v>20.55</v>
      </c>
      <c r="D278">
        <v>19.899999999999999</v>
      </c>
      <c r="E278">
        <v>-3.16</v>
      </c>
    </row>
    <row r="279" spans="1:5" x14ac:dyDescent="0.3">
      <c r="A279" s="27" t="s">
        <v>2665</v>
      </c>
      <c r="B279" s="27" t="s">
        <v>11</v>
      </c>
      <c r="C279">
        <v>118.75</v>
      </c>
      <c r="D279">
        <v>115</v>
      </c>
      <c r="E279">
        <v>-3.16</v>
      </c>
    </row>
    <row r="280" spans="1:5" x14ac:dyDescent="0.3">
      <c r="A280" s="27" t="s">
        <v>2666</v>
      </c>
      <c r="B280" s="27" t="s">
        <v>33</v>
      </c>
      <c r="C280">
        <v>47.55</v>
      </c>
      <c r="D280">
        <v>46.05</v>
      </c>
      <c r="E280">
        <v>-3.15</v>
      </c>
    </row>
    <row r="281" spans="1:5" x14ac:dyDescent="0.3">
      <c r="A281" s="27" t="s">
        <v>2667</v>
      </c>
      <c r="B281" s="27" t="s">
        <v>33</v>
      </c>
      <c r="C281">
        <v>0.96</v>
      </c>
      <c r="D281">
        <v>0.93</v>
      </c>
      <c r="E281">
        <v>-3.13</v>
      </c>
    </row>
    <row r="282" spans="1:5" x14ac:dyDescent="0.3">
      <c r="A282" s="27" t="s">
        <v>2668</v>
      </c>
      <c r="B282" s="27" t="s">
        <v>11</v>
      </c>
      <c r="C282">
        <v>6.4</v>
      </c>
      <c r="D282">
        <v>6.2</v>
      </c>
      <c r="E282">
        <v>-3.13</v>
      </c>
    </row>
    <row r="283" spans="1:5" x14ac:dyDescent="0.3">
      <c r="A283" s="27" t="s">
        <v>2669</v>
      </c>
      <c r="B283" s="27" t="s">
        <v>35</v>
      </c>
      <c r="C283">
        <v>0.32</v>
      </c>
      <c r="D283">
        <v>0.31</v>
      </c>
      <c r="E283">
        <v>-3.13</v>
      </c>
    </row>
    <row r="284" spans="1:5" x14ac:dyDescent="0.3">
      <c r="A284" s="27" t="s">
        <v>2670</v>
      </c>
      <c r="B284" s="27" t="s">
        <v>11</v>
      </c>
      <c r="C284">
        <v>51.2</v>
      </c>
      <c r="D284">
        <v>49.6</v>
      </c>
      <c r="E284">
        <v>-3.13</v>
      </c>
    </row>
    <row r="285" spans="1:5" x14ac:dyDescent="0.3">
      <c r="A285" s="27" t="s">
        <v>2671</v>
      </c>
      <c r="B285" s="27" t="s">
        <v>33</v>
      </c>
      <c r="C285">
        <v>86.9</v>
      </c>
      <c r="D285">
        <v>84.2</v>
      </c>
      <c r="E285">
        <v>-3.11</v>
      </c>
    </row>
    <row r="286" spans="1:5" x14ac:dyDescent="0.3">
      <c r="A286" s="27" t="s">
        <v>2672</v>
      </c>
      <c r="B286" s="27" t="s">
        <v>33</v>
      </c>
      <c r="C286">
        <v>184.8</v>
      </c>
      <c r="D286">
        <v>179.05</v>
      </c>
      <c r="E286">
        <v>-3.11</v>
      </c>
    </row>
    <row r="287" spans="1:5" x14ac:dyDescent="0.3">
      <c r="A287" s="27" t="s">
        <v>2673</v>
      </c>
      <c r="B287" s="27" t="s">
        <v>33</v>
      </c>
      <c r="C287">
        <v>86.7</v>
      </c>
      <c r="D287">
        <v>84</v>
      </c>
      <c r="E287">
        <v>-3.11</v>
      </c>
    </row>
    <row r="288" spans="1:5" x14ac:dyDescent="0.3">
      <c r="A288" s="27" t="s">
        <v>2674</v>
      </c>
      <c r="B288" s="27" t="s">
        <v>33</v>
      </c>
      <c r="C288">
        <v>42</v>
      </c>
      <c r="D288">
        <v>40.700000000000003</v>
      </c>
      <c r="E288">
        <v>-3.1</v>
      </c>
    </row>
    <row r="289" spans="1:5" x14ac:dyDescent="0.3">
      <c r="A289" s="27" t="s">
        <v>2675</v>
      </c>
      <c r="B289" s="27" t="s">
        <v>328</v>
      </c>
      <c r="C289">
        <v>1775</v>
      </c>
      <c r="D289">
        <v>1720.05</v>
      </c>
      <c r="E289">
        <v>-3.1</v>
      </c>
    </row>
    <row r="290" spans="1:5" x14ac:dyDescent="0.3">
      <c r="A290" s="27" t="s">
        <v>2676</v>
      </c>
      <c r="B290" s="27" t="s">
        <v>33</v>
      </c>
      <c r="C290">
        <v>490</v>
      </c>
      <c r="D290">
        <v>474.85</v>
      </c>
      <c r="E290">
        <v>-3.09</v>
      </c>
    </row>
    <row r="291" spans="1:5" x14ac:dyDescent="0.3">
      <c r="A291" s="27" t="s">
        <v>2677</v>
      </c>
      <c r="B291" s="27" t="s">
        <v>11</v>
      </c>
      <c r="C291">
        <v>17.850000000000001</v>
      </c>
      <c r="D291">
        <v>17.3</v>
      </c>
      <c r="E291">
        <v>-3.08</v>
      </c>
    </row>
    <row r="292" spans="1:5" x14ac:dyDescent="0.3">
      <c r="A292" s="27" t="s">
        <v>2678</v>
      </c>
      <c r="B292" s="27" t="s">
        <v>33</v>
      </c>
      <c r="C292">
        <v>9.49</v>
      </c>
      <c r="D292">
        <v>9.1999999999999993</v>
      </c>
      <c r="E292">
        <v>-3.06</v>
      </c>
    </row>
    <row r="293" spans="1:5" x14ac:dyDescent="0.3">
      <c r="A293" s="27" t="s">
        <v>2679</v>
      </c>
      <c r="B293" s="27" t="s">
        <v>33</v>
      </c>
      <c r="C293">
        <v>0.33</v>
      </c>
      <c r="D293">
        <v>0.32</v>
      </c>
      <c r="E293">
        <v>-3.03</v>
      </c>
    </row>
    <row r="294" spans="1:5" x14ac:dyDescent="0.3">
      <c r="A294" s="27" t="s">
        <v>2680</v>
      </c>
      <c r="B294" s="27" t="s">
        <v>33</v>
      </c>
      <c r="C294">
        <v>722.1</v>
      </c>
      <c r="D294">
        <v>700.3</v>
      </c>
      <c r="E294">
        <v>-3.02</v>
      </c>
    </row>
    <row r="295" spans="1:5" x14ac:dyDescent="0.3">
      <c r="A295" s="27" t="s">
        <v>2681</v>
      </c>
      <c r="B295" s="27" t="s">
        <v>10</v>
      </c>
      <c r="C295">
        <v>1449.85</v>
      </c>
      <c r="D295">
        <v>1406.35</v>
      </c>
      <c r="E295">
        <v>-3</v>
      </c>
    </row>
    <row r="296" spans="1:5" x14ac:dyDescent="0.3">
      <c r="A296" s="27" t="s">
        <v>2682</v>
      </c>
      <c r="B296" s="27" t="s">
        <v>33</v>
      </c>
      <c r="C296">
        <v>18.399999999999999</v>
      </c>
      <c r="D296">
        <v>17.850000000000001</v>
      </c>
      <c r="E296">
        <v>-2.99</v>
      </c>
    </row>
    <row r="297" spans="1:5" x14ac:dyDescent="0.3">
      <c r="A297" s="27" t="s">
        <v>2683</v>
      </c>
      <c r="B297" s="27" t="s">
        <v>11</v>
      </c>
      <c r="C297">
        <v>371.85</v>
      </c>
      <c r="D297">
        <v>360.75</v>
      </c>
      <c r="E297">
        <v>-2.99</v>
      </c>
    </row>
    <row r="298" spans="1:5" x14ac:dyDescent="0.3">
      <c r="A298" s="27" t="s">
        <v>2684</v>
      </c>
      <c r="B298" s="27" t="s">
        <v>33</v>
      </c>
      <c r="C298">
        <v>10.17</v>
      </c>
      <c r="D298">
        <v>9.8699999999999992</v>
      </c>
      <c r="E298">
        <v>-2.95</v>
      </c>
    </row>
    <row r="299" spans="1:5" x14ac:dyDescent="0.3">
      <c r="A299" s="27" t="s">
        <v>2685</v>
      </c>
      <c r="B299" s="27" t="s">
        <v>33</v>
      </c>
      <c r="C299">
        <v>181.4</v>
      </c>
      <c r="D299">
        <v>176.05</v>
      </c>
      <c r="E299">
        <v>-2.95</v>
      </c>
    </row>
    <row r="300" spans="1:5" x14ac:dyDescent="0.3">
      <c r="A300" s="27" t="s">
        <v>2686</v>
      </c>
      <c r="B300" s="27" t="s">
        <v>33</v>
      </c>
      <c r="C300">
        <v>39.200000000000003</v>
      </c>
      <c r="D300">
        <v>38.049999999999997</v>
      </c>
      <c r="E300">
        <v>-2.93</v>
      </c>
    </row>
    <row r="301" spans="1:5" x14ac:dyDescent="0.3">
      <c r="A301" s="27" t="s">
        <v>2687</v>
      </c>
      <c r="B301" s="27" t="s">
        <v>10</v>
      </c>
      <c r="C301">
        <v>1388.35</v>
      </c>
      <c r="D301">
        <v>1347.85</v>
      </c>
      <c r="E301">
        <v>-2.92</v>
      </c>
    </row>
    <row r="302" spans="1:5" x14ac:dyDescent="0.3">
      <c r="A302" s="27" t="s">
        <v>2688</v>
      </c>
      <c r="B302" s="27" t="s">
        <v>11</v>
      </c>
      <c r="C302">
        <v>60.2</v>
      </c>
      <c r="D302">
        <v>58.45</v>
      </c>
      <c r="E302">
        <v>-2.91</v>
      </c>
    </row>
    <row r="303" spans="1:5" x14ac:dyDescent="0.3">
      <c r="A303" s="27" t="s">
        <v>2689</v>
      </c>
      <c r="B303" s="27" t="s">
        <v>33</v>
      </c>
      <c r="C303">
        <v>72.099999999999994</v>
      </c>
      <c r="D303">
        <v>70</v>
      </c>
      <c r="E303">
        <v>-2.91</v>
      </c>
    </row>
    <row r="304" spans="1:5" x14ac:dyDescent="0.3">
      <c r="A304" s="27" t="s">
        <v>2690</v>
      </c>
      <c r="B304" s="27" t="s">
        <v>11</v>
      </c>
      <c r="C304">
        <v>125.6</v>
      </c>
      <c r="D304">
        <v>121.95</v>
      </c>
      <c r="E304">
        <v>-2.91</v>
      </c>
    </row>
    <row r="305" spans="1:5" x14ac:dyDescent="0.3">
      <c r="A305" s="27" t="s">
        <v>2691</v>
      </c>
      <c r="B305" s="27" t="s">
        <v>33</v>
      </c>
      <c r="C305">
        <v>53.5</v>
      </c>
      <c r="D305">
        <v>51.95</v>
      </c>
      <c r="E305">
        <v>-2.9</v>
      </c>
    </row>
    <row r="306" spans="1:5" x14ac:dyDescent="0.3">
      <c r="A306" s="27" t="s">
        <v>2692</v>
      </c>
      <c r="B306" s="27" t="s">
        <v>33</v>
      </c>
      <c r="C306">
        <v>11.02</v>
      </c>
      <c r="D306">
        <v>10.7</v>
      </c>
      <c r="E306">
        <v>-2.9</v>
      </c>
    </row>
    <row r="307" spans="1:5" x14ac:dyDescent="0.3">
      <c r="A307" s="27" t="s">
        <v>2693</v>
      </c>
      <c r="B307" s="27" t="s">
        <v>33</v>
      </c>
      <c r="C307">
        <v>27.8</v>
      </c>
      <c r="D307">
        <v>27</v>
      </c>
      <c r="E307">
        <v>-2.88</v>
      </c>
    </row>
    <row r="308" spans="1:5" x14ac:dyDescent="0.3">
      <c r="A308" s="27" t="s">
        <v>2694</v>
      </c>
      <c r="B308" s="27" t="s">
        <v>29</v>
      </c>
      <c r="C308">
        <v>1.04</v>
      </c>
      <c r="D308">
        <v>1.01</v>
      </c>
      <c r="E308">
        <v>-2.88</v>
      </c>
    </row>
    <row r="309" spans="1:5" x14ac:dyDescent="0.3">
      <c r="A309" s="27" t="s">
        <v>2695</v>
      </c>
      <c r="B309" s="27" t="s">
        <v>11</v>
      </c>
      <c r="C309">
        <v>22.65</v>
      </c>
      <c r="D309">
        <v>22</v>
      </c>
      <c r="E309">
        <v>-2.87</v>
      </c>
    </row>
    <row r="310" spans="1:5" x14ac:dyDescent="0.3">
      <c r="A310" s="27" t="s">
        <v>2696</v>
      </c>
      <c r="B310" s="27" t="s">
        <v>29</v>
      </c>
      <c r="C310">
        <v>4.54</v>
      </c>
      <c r="D310">
        <v>4.41</v>
      </c>
      <c r="E310">
        <v>-2.86</v>
      </c>
    </row>
    <row r="311" spans="1:5" x14ac:dyDescent="0.3">
      <c r="A311" s="27" t="s">
        <v>2697</v>
      </c>
      <c r="B311" s="27" t="s">
        <v>328</v>
      </c>
      <c r="C311">
        <v>25</v>
      </c>
      <c r="D311">
        <v>24.3</v>
      </c>
      <c r="E311">
        <v>-2.8</v>
      </c>
    </row>
    <row r="312" spans="1:5" x14ac:dyDescent="0.3">
      <c r="A312" s="27" t="s">
        <v>2698</v>
      </c>
      <c r="B312" s="27" t="s">
        <v>33</v>
      </c>
      <c r="C312">
        <v>21.5</v>
      </c>
      <c r="D312">
        <v>20.9</v>
      </c>
      <c r="E312">
        <v>-2.79</v>
      </c>
    </row>
    <row r="313" spans="1:5" x14ac:dyDescent="0.3">
      <c r="A313" s="27" t="s">
        <v>2699</v>
      </c>
      <c r="B313" s="27" t="s">
        <v>33</v>
      </c>
      <c r="C313">
        <v>18.5</v>
      </c>
      <c r="D313">
        <v>18</v>
      </c>
      <c r="E313">
        <v>-2.7</v>
      </c>
    </row>
    <row r="314" spans="1:5" x14ac:dyDescent="0.3">
      <c r="A314" s="27" t="s">
        <v>2700</v>
      </c>
      <c r="B314" s="27" t="s">
        <v>11</v>
      </c>
      <c r="C314">
        <v>246.85</v>
      </c>
      <c r="D314">
        <v>240.2</v>
      </c>
      <c r="E314">
        <v>-2.69</v>
      </c>
    </row>
    <row r="315" spans="1:5" x14ac:dyDescent="0.3">
      <c r="A315" s="27" t="s">
        <v>2701</v>
      </c>
      <c r="B315" s="27" t="s">
        <v>33</v>
      </c>
      <c r="C315">
        <v>100.95</v>
      </c>
      <c r="D315">
        <v>98.25</v>
      </c>
      <c r="E315">
        <v>-2.67</v>
      </c>
    </row>
    <row r="316" spans="1:5" x14ac:dyDescent="0.3">
      <c r="A316" s="27" t="s">
        <v>2702</v>
      </c>
      <c r="B316" s="27" t="s">
        <v>11</v>
      </c>
      <c r="C316">
        <v>179.4</v>
      </c>
      <c r="D316">
        <v>174.65</v>
      </c>
      <c r="E316">
        <v>-2.65</v>
      </c>
    </row>
    <row r="317" spans="1:5" x14ac:dyDescent="0.3">
      <c r="A317" s="27" t="s">
        <v>2703</v>
      </c>
      <c r="B317" s="27" t="s">
        <v>33</v>
      </c>
      <c r="C317">
        <v>232.75</v>
      </c>
      <c r="D317">
        <v>226.6</v>
      </c>
      <c r="E317">
        <v>-2.64</v>
      </c>
    </row>
    <row r="318" spans="1:5" x14ac:dyDescent="0.3">
      <c r="A318" s="27" t="s">
        <v>2704</v>
      </c>
      <c r="B318" s="27" t="s">
        <v>10</v>
      </c>
      <c r="C318">
        <v>89.35</v>
      </c>
      <c r="D318">
        <v>87</v>
      </c>
      <c r="E318">
        <v>-2.63</v>
      </c>
    </row>
    <row r="319" spans="1:5" x14ac:dyDescent="0.3">
      <c r="A319" s="27" t="s">
        <v>2705</v>
      </c>
      <c r="B319" s="27" t="s">
        <v>33</v>
      </c>
      <c r="C319">
        <v>266</v>
      </c>
      <c r="D319">
        <v>259</v>
      </c>
      <c r="E319">
        <v>-2.63</v>
      </c>
    </row>
    <row r="320" spans="1:5" x14ac:dyDescent="0.3">
      <c r="A320" s="27" t="s">
        <v>2706</v>
      </c>
      <c r="B320" s="27" t="s">
        <v>11</v>
      </c>
      <c r="C320">
        <v>119.65</v>
      </c>
      <c r="D320">
        <v>116.5</v>
      </c>
      <c r="E320">
        <v>-2.63</v>
      </c>
    </row>
    <row r="321" spans="1:5" x14ac:dyDescent="0.3">
      <c r="A321" s="27" t="s">
        <v>2707</v>
      </c>
      <c r="B321" s="27" t="s">
        <v>33</v>
      </c>
      <c r="C321">
        <v>131.5</v>
      </c>
      <c r="D321">
        <v>128.05000000000001</v>
      </c>
      <c r="E321">
        <v>-2.62</v>
      </c>
    </row>
    <row r="322" spans="1:5" x14ac:dyDescent="0.3">
      <c r="A322" s="27" t="s">
        <v>2708</v>
      </c>
      <c r="B322" s="27" t="s">
        <v>11</v>
      </c>
      <c r="C322">
        <v>219.8</v>
      </c>
      <c r="D322">
        <v>214.05</v>
      </c>
      <c r="E322">
        <v>-2.62</v>
      </c>
    </row>
    <row r="323" spans="1:5" x14ac:dyDescent="0.3">
      <c r="A323" s="27" t="s">
        <v>2709</v>
      </c>
      <c r="B323" s="27" t="s">
        <v>11</v>
      </c>
      <c r="C323">
        <v>42.05</v>
      </c>
      <c r="D323">
        <v>40.950000000000003</v>
      </c>
      <c r="E323">
        <v>-2.62</v>
      </c>
    </row>
    <row r="324" spans="1:5" x14ac:dyDescent="0.3">
      <c r="A324" s="27" t="s">
        <v>2710</v>
      </c>
      <c r="B324" s="27" t="s">
        <v>328</v>
      </c>
      <c r="C324">
        <v>42</v>
      </c>
      <c r="D324">
        <v>40.9</v>
      </c>
      <c r="E324">
        <v>-2.62</v>
      </c>
    </row>
    <row r="325" spans="1:5" x14ac:dyDescent="0.3">
      <c r="A325" s="27" t="s">
        <v>2711</v>
      </c>
      <c r="B325" s="27" t="s">
        <v>22</v>
      </c>
      <c r="C325">
        <v>11.5</v>
      </c>
      <c r="D325">
        <v>11.2</v>
      </c>
      <c r="E325">
        <v>-2.61</v>
      </c>
    </row>
    <row r="326" spans="1:5" x14ac:dyDescent="0.3">
      <c r="A326" s="27" t="s">
        <v>2712</v>
      </c>
      <c r="B326" s="27" t="s">
        <v>11</v>
      </c>
      <c r="C326">
        <v>15.04</v>
      </c>
      <c r="D326">
        <v>14.65</v>
      </c>
      <c r="E326">
        <v>-2.59</v>
      </c>
    </row>
    <row r="327" spans="1:5" x14ac:dyDescent="0.3">
      <c r="A327" s="27" t="s">
        <v>2713</v>
      </c>
      <c r="B327" s="27" t="s">
        <v>11</v>
      </c>
      <c r="C327">
        <v>31.1</v>
      </c>
      <c r="D327">
        <v>30.3</v>
      </c>
      <c r="E327">
        <v>-2.57</v>
      </c>
    </row>
    <row r="328" spans="1:5" x14ac:dyDescent="0.3">
      <c r="A328" s="27" t="s">
        <v>2714</v>
      </c>
      <c r="B328" s="27" t="s">
        <v>33</v>
      </c>
      <c r="C328">
        <v>38.85</v>
      </c>
      <c r="D328">
        <v>37.85</v>
      </c>
      <c r="E328">
        <v>-2.57</v>
      </c>
    </row>
    <row r="329" spans="1:5" x14ac:dyDescent="0.3">
      <c r="A329" s="27" t="s">
        <v>2715</v>
      </c>
      <c r="B329" s="27" t="s">
        <v>33</v>
      </c>
      <c r="C329">
        <v>17.7</v>
      </c>
      <c r="D329">
        <v>17.25</v>
      </c>
      <c r="E329">
        <v>-2.54</v>
      </c>
    </row>
    <row r="330" spans="1:5" x14ac:dyDescent="0.3">
      <c r="A330" s="27" t="s">
        <v>2716</v>
      </c>
      <c r="B330" s="27" t="s">
        <v>33</v>
      </c>
      <c r="C330">
        <v>3.95</v>
      </c>
      <c r="D330">
        <v>3.85</v>
      </c>
      <c r="E330">
        <v>-2.5299999999999998</v>
      </c>
    </row>
    <row r="331" spans="1:5" x14ac:dyDescent="0.3">
      <c r="A331" s="27" t="s">
        <v>2717</v>
      </c>
      <c r="B331" s="27" t="s">
        <v>328</v>
      </c>
      <c r="C331">
        <v>4.3600000000000003</v>
      </c>
      <c r="D331">
        <v>4.25</v>
      </c>
      <c r="E331">
        <v>-2.52</v>
      </c>
    </row>
    <row r="332" spans="1:5" x14ac:dyDescent="0.3">
      <c r="A332" s="27" t="s">
        <v>2718</v>
      </c>
      <c r="B332" s="27" t="s">
        <v>33</v>
      </c>
      <c r="C332">
        <v>40.1</v>
      </c>
      <c r="D332">
        <v>39.1</v>
      </c>
      <c r="E332">
        <v>-2.4900000000000002</v>
      </c>
    </row>
    <row r="333" spans="1:5" x14ac:dyDescent="0.3">
      <c r="A333" s="27" t="s">
        <v>2719</v>
      </c>
      <c r="B333" s="27" t="s">
        <v>11</v>
      </c>
      <c r="C333">
        <v>136.5</v>
      </c>
      <c r="D333">
        <v>133.1</v>
      </c>
      <c r="E333">
        <v>-2.4900000000000002</v>
      </c>
    </row>
    <row r="334" spans="1:5" x14ac:dyDescent="0.3">
      <c r="A334" s="27" t="s">
        <v>2720</v>
      </c>
      <c r="B334" s="27" t="s">
        <v>33</v>
      </c>
      <c r="C334">
        <v>52.65</v>
      </c>
      <c r="D334">
        <v>51.35</v>
      </c>
      <c r="E334">
        <v>-2.4700000000000002</v>
      </c>
    </row>
    <row r="335" spans="1:5" x14ac:dyDescent="0.3">
      <c r="A335" s="27" t="s">
        <v>2721</v>
      </c>
      <c r="B335" s="27" t="s">
        <v>33</v>
      </c>
      <c r="C335">
        <v>9.75</v>
      </c>
      <c r="D335">
        <v>9.51</v>
      </c>
      <c r="E335">
        <v>-2.46</v>
      </c>
    </row>
    <row r="336" spans="1:5" x14ac:dyDescent="0.3">
      <c r="A336" s="27" t="s">
        <v>2722</v>
      </c>
      <c r="B336" s="27" t="s">
        <v>35</v>
      </c>
      <c r="C336">
        <v>2.0499999999999998</v>
      </c>
      <c r="D336">
        <v>2</v>
      </c>
      <c r="E336">
        <v>-2.44</v>
      </c>
    </row>
    <row r="337" spans="1:5" x14ac:dyDescent="0.3">
      <c r="A337" s="27" t="s">
        <v>2723</v>
      </c>
      <c r="B337" s="27" t="s">
        <v>29</v>
      </c>
      <c r="C337">
        <v>24.6</v>
      </c>
      <c r="D337">
        <v>24</v>
      </c>
      <c r="E337">
        <v>-2.44</v>
      </c>
    </row>
    <row r="338" spans="1:5" x14ac:dyDescent="0.3">
      <c r="A338" s="27" t="s">
        <v>2724</v>
      </c>
      <c r="B338" s="27" t="s">
        <v>11</v>
      </c>
      <c r="C338">
        <v>7.83</v>
      </c>
      <c r="D338">
        <v>7.64</v>
      </c>
      <c r="E338">
        <v>-2.4300000000000002</v>
      </c>
    </row>
    <row r="339" spans="1:5" x14ac:dyDescent="0.3">
      <c r="A339" s="27" t="s">
        <v>2725</v>
      </c>
      <c r="B339" s="27" t="s">
        <v>29</v>
      </c>
      <c r="C339">
        <v>2.89</v>
      </c>
      <c r="D339">
        <v>2.82</v>
      </c>
      <c r="E339">
        <v>-2.42</v>
      </c>
    </row>
    <row r="340" spans="1:5" x14ac:dyDescent="0.3">
      <c r="A340" s="27" t="s">
        <v>2726</v>
      </c>
      <c r="B340" s="27" t="s">
        <v>33</v>
      </c>
      <c r="C340">
        <v>33.1</v>
      </c>
      <c r="D340">
        <v>32.299999999999997</v>
      </c>
      <c r="E340">
        <v>-2.42</v>
      </c>
    </row>
    <row r="341" spans="1:5" x14ac:dyDescent="0.3">
      <c r="A341" s="27" t="s">
        <v>2727</v>
      </c>
      <c r="B341" s="27" t="s">
        <v>29</v>
      </c>
      <c r="C341">
        <v>7.48</v>
      </c>
      <c r="D341">
        <v>7.3</v>
      </c>
      <c r="E341">
        <v>-2.41</v>
      </c>
    </row>
    <row r="342" spans="1:5" x14ac:dyDescent="0.3">
      <c r="A342" s="27" t="s">
        <v>2728</v>
      </c>
      <c r="B342" s="27" t="s">
        <v>33</v>
      </c>
      <c r="C342">
        <v>18.8</v>
      </c>
      <c r="D342">
        <v>18.350000000000001</v>
      </c>
      <c r="E342">
        <v>-2.39</v>
      </c>
    </row>
    <row r="343" spans="1:5" x14ac:dyDescent="0.3">
      <c r="A343" s="27" t="s">
        <v>2729</v>
      </c>
      <c r="B343" s="27" t="s">
        <v>33</v>
      </c>
      <c r="C343">
        <v>18.8</v>
      </c>
      <c r="D343">
        <v>18.350000000000001</v>
      </c>
      <c r="E343">
        <v>-2.39</v>
      </c>
    </row>
    <row r="344" spans="1:5" x14ac:dyDescent="0.3">
      <c r="A344" s="27" t="s">
        <v>2730</v>
      </c>
      <c r="B344" s="27" t="s">
        <v>328</v>
      </c>
      <c r="C344">
        <v>8.4499999999999993</v>
      </c>
      <c r="D344">
        <v>8.25</v>
      </c>
      <c r="E344">
        <v>-2.37</v>
      </c>
    </row>
    <row r="345" spans="1:5" x14ac:dyDescent="0.3">
      <c r="A345" s="27" t="s">
        <v>2731</v>
      </c>
      <c r="B345" s="27" t="s">
        <v>11</v>
      </c>
      <c r="C345">
        <v>33.799999999999997</v>
      </c>
      <c r="D345">
        <v>33</v>
      </c>
      <c r="E345">
        <v>-2.37</v>
      </c>
    </row>
    <row r="346" spans="1:5" x14ac:dyDescent="0.3">
      <c r="A346" s="27" t="s">
        <v>2732</v>
      </c>
      <c r="B346" s="27" t="s">
        <v>33</v>
      </c>
      <c r="C346">
        <v>27.4</v>
      </c>
      <c r="D346">
        <v>26.75</v>
      </c>
      <c r="E346">
        <v>-2.37</v>
      </c>
    </row>
    <row r="347" spans="1:5" x14ac:dyDescent="0.3">
      <c r="A347" s="27" t="s">
        <v>2733</v>
      </c>
      <c r="B347" s="27" t="s">
        <v>33</v>
      </c>
      <c r="C347">
        <v>14.33</v>
      </c>
      <c r="D347">
        <v>14</v>
      </c>
      <c r="E347">
        <v>-2.2999999999999998</v>
      </c>
    </row>
    <row r="348" spans="1:5" x14ac:dyDescent="0.3">
      <c r="A348" s="27" t="s">
        <v>2734</v>
      </c>
      <c r="B348" s="27" t="s">
        <v>33</v>
      </c>
      <c r="C348">
        <v>14.33</v>
      </c>
      <c r="D348">
        <v>14</v>
      </c>
      <c r="E348">
        <v>-2.2999999999999998</v>
      </c>
    </row>
    <row r="349" spans="1:5" x14ac:dyDescent="0.3">
      <c r="A349" s="27" t="s">
        <v>2735</v>
      </c>
      <c r="B349" s="27" t="s">
        <v>22</v>
      </c>
      <c r="C349">
        <v>24</v>
      </c>
      <c r="D349">
        <v>23.45</v>
      </c>
      <c r="E349">
        <v>-2.29</v>
      </c>
    </row>
    <row r="350" spans="1:5" x14ac:dyDescent="0.3">
      <c r="A350" s="27" t="s">
        <v>2736</v>
      </c>
      <c r="B350" s="27" t="s">
        <v>11</v>
      </c>
      <c r="C350">
        <v>1.31</v>
      </c>
      <c r="D350">
        <v>1.28</v>
      </c>
      <c r="E350">
        <v>-2.29</v>
      </c>
    </row>
    <row r="351" spans="1:5" x14ac:dyDescent="0.3">
      <c r="A351" s="27" t="s">
        <v>2737</v>
      </c>
      <c r="B351" s="27" t="s">
        <v>29</v>
      </c>
      <c r="C351">
        <v>8.3000000000000007</v>
      </c>
      <c r="D351">
        <v>8.11</v>
      </c>
      <c r="E351">
        <v>-2.29</v>
      </c>
    </row>
    <row r="352" spans="1:5" x14ac:dyDescent="0.3">
      <c r="A352" s="27" t="s">
        <v>2738</v>
      </c>
      <c r="B352" s="27" t="s">
        <v>11</v>
      </c>
      <c r="C352">
        <v>340.3</v>
      </c>
      <c r="D352">
        <v>332.5</v>
      </c>
      <c r="E352">
        <v>-2.29</v>
      </c>
    </row>
    <row r="353" spans="1:5" x14ac:dyDescent="0.3">
      <c r="A353" s="27" t="s">
        <v>2739</v>
      </c>
      <c r="B353" s="27" t="s">
        <v>11</v>
      </c>
      <c r="C353">
        <v>48.1</v>
      </c>
      <c r="D353">
        <v>47</v>
      </c>
      <c r="E353">
        <v>-2.29</v>
      </c>
    </row>
    <row r="354" spans="1:5" x14ac:dyDescent="0.3">
      <c r="A354" s="27" t="s">
        <v>2740</v>
      </c>
      <c r="B354" s="27" t="s">
        <v>33</v>
      </c>
      <c r="C354">
        <v>11.92</v>
      </c>
      <c r="D354">
        <v>11.65</v>
      </c>
      <c r="E354">
        <v>-2.27</v>
      </c>
    </row>
    <row r="355" spans="1:5" x14ac:dyDescent="0.3">
      <c r="A355" s="27" t="s">
        <v>2741</v>
      </c>
      <c r="B355" s="27" t="s">
        <v>10</v>
      </c>
      <c r="C355">
        <v>70.55</v>
      </c>
      <c r="D355">
        <v>68.95</v>
      </c>
      <c r="E355">
        <v>-2.27</v>
      </c>
    </row>
    <row r="356" spans="1:5" x14ac:dyDescent="0.3">
      <c r="A356" s="27" t="s">
        <v>2742</v>
      </c>
      <c r="B356" s="27" t="s">
        <v>33</v>
      </c>
      <c r="C356">
        <v>13.3</v>
      </c>
      <c r="D356">
        <v>13</v>
      </c>
      <c r="E356">
        <v>-2.2599999999999998</v>
      </c>
    </row>
    <row r="357" spans="1:5" x14ac:dyDescent="0.3">
      <c r="A357" s="27" t="s">
        <v>2743</v>
      </c>
      <c r="B357" s="27" t="s">
        <v>10</v>
      </c>
      <c r="C357">
        <v>2251.4</v>
      </c>
      <c r="D357">
        <v>2200.5</v>
      </c>
      <c r="E357">
        <v>-2.2599999999999998</v>
      </c>
    </row>
    <row r="358" spans="1:5" x14ac:dyDescent="0.3">
      <c r="A358" s="27" t="s">
        <v>2744</v>
      </c>
      <c r="B358" s="27" t="s">
        <v>328</v>
      </c>
      <c r="C358">
        <v>22.25</v>
      </c>
      <c r="D358">
        <v>21.75</v>
      </c>
      <c r="E358">
        <v>-2.25</v>
      </c>
    </row>
    <row r="359" spans="1:5" x14ac:dyDescent="0.3">
      <c r="A359" s="27" t="s">
        <v>2745</v>
      </c>
      <c r="B359" s="27" t="s">
        <v>11</v>
      </c>
      <c r="C359">
        <v>24.55</v>
      </c>
      <c r="D359">
        <v>24</v>
      </c>
      <c r="E359">
        <v>-2.2400000000000002</v>
      </c>
    </row>
    <row r="360" spans="1:5" x14ac:dyDescent="0.3">
      <c r="A360" s="27" t="s">
        <v>2746</v>
      </c>
      <c r="B360" s="27" t="s">
        <v>29</v>
      </c>
      <c r="C360">
        <v>9.4</v>
      </c>
      <c r="D360">
        <v>9.19</v>
      </c>
      <c r="E360">
        <v>-2.23</v>
      </c>
    </row>
    <row r="361" spans="1:5" x14ac:dyDescent="0.3">
      <c r="A361" s="27" t="s">
        <v>2747</v>
      </c>
      <c r="B361" s="27" t="s">
        <v>11</v>
      </c>
      <c r="C361">
        <v>112</v>
      </c>
      <c r="D361">
        <v>109.5</v>
      </c>
      <c r="E361">
        <v>-2.23</v>
      </c>
    </row>
    <row r="362" spans="1:5" x14ac:dyDescent="0.3">
      <c r="A362" s="27" t="s">
        <v>2748</v>
      </c>
      <c r="B362" s="27" t="s">
        <v>29</v>
      </c>
      <c r="C362">
        <v>5.47</v>
      </c>
      <c r="D362">
        <v>5.35</v>
      </c>
      <c r="E362">
        <v>-2.19</v>
      </c>
    </row>
    <row r="363" spans="1:5" x14ac:dyDescent="0.3">
      <c r="A363" s="27" t="s">
        <v>2749</v>
      </c>
      <c r="B363" s="27" t="s">
        <v>10</v>
      </c>
      <c r="C363">
        <v>841.75</v>
      </c>
      <c r="D363">
        <v>823.4</v>
      </c>
      <c r="E363">
        <v>-2.1800000000000002</v>
      </c>
    </row>
    <row r="364" spans="1:5" x14ac:dyDescent="0.3">
      <c r="A364" s="27" t="s">
        <v>2750</v>
      </c>
      <c r="B364" s="27" t="s">
        <v>11</v>
      </c>
      <c r="C364">
        <v>39.5</v>
      </c>
      <c r="D364">
        <v>38.65</v>
      </c>
      <c r="E364">
        <v>-2.15</v>
      </c>
    </row>
    <row r="365" spans="1:5" x14ac:dyDescent="0.3">
      <c r="A365" s="27" t="s">
        <v>2751</v>
      </c>
      <c r="B365" s="27" t="s">
        <v>10</v>
      </c>
      <c r="C365">
        <v>1214.05</v>
      </c>
      <c r="D365">
        <v>1188.0999999999999</v>
      </c>
      <c r="E365">
        <v>-2.14</v>
      </c>
    </row>
    <row r="366" spans="1:5" x14ac:dyDescent="0.3">
      <c r="A366" s="27" t="s">
        <v>2752</v>
      </c>
      <c r="B366" s="27" t="s">
        <v>10</v>
      </c>
      <c r="C366">
        <v>28.1</v>
      </c>
      <c r="D366">
        <v>27.5</v>
      </c>
      <c r="E366">
        <v>-2.14</v>
      </c>
    </row>
    <row r="367" spans="1:5" x14ac:dyDescent="0.3">
      <c r="A367" s="27" t="s">
        <v>2753</v>
      </c>
      <c r="B367" s="27" t="s">
        <v>10</v>
      </c>
      <c r="C367">
        <v>2791.45</v>
      </c>
      <c r="D367">
        <v>2732.25</v>
      </c>
      <c r="E367">
        <v>-2.12</v>
      </c>
    </row>
    <row r="368" spans="1:5" x14ac:dyDescent="0.3">
      <c r="A368" s="27" t="s">
        <v>2754</v>
      </c>
      <c r="B368" s="27" t="s">
        <v>11</v>
      </c>
      <c r="C368">
        <v>69.150000000000006</v>
      </c>
      <c r="D368">
        <v>67.7</v>
      </c>
      <c r="E368">
        <v>-2.1</v>
      </c>
    </row>
    <row r="369" spans="1:5" x14ac:dyDescent="0.3">
      <c r="A369" s="27" t="s">
        <v>2755</v>
      </c>
      <c r="B369" s="27" t="s">
        <v>10</v>
      </c>
      <c r="C369">
        <v>465.85</v>
      </c>
      <c r="D369">
        <v>456.1</v>
      </c>
      <c r="E369">
        <v>-2.09</v>
      </c>
    </row>
    <row r="370" spans="1:5" x14ac:dyDescent="0.3">
      <c r="A370" s="27" t="s">
        <v>2756</v>
      </c>
      <c r="B370" s="27" t="s">
        <v>33</v>
      </c>
      <c r="C370">
        <v>24.5</v>
      </c>
      <c r="D370">
        <v>24</v>
      </c>
      <c r="E370">
        <v>-2.04</v>
      </c>
    </row>
    <row r="371" spans="1:5" x14ac:dyDescent="0.3">
      <c r="A371" s="27" t="s">
        <v>2757</v>
      </c>
      <c r="B371" s="27" t="s">
        <v>11</v>
      </c>
      <c r="C371">
        <v>9.92</v>
      </c>
      <c r="D371">
        <v>9.7200000000000006</v>
      </c>
      <c r="E371">
        <v>-2.02</v>
      </c>
    </row>
    <row r="372" spans="1:5" x14ac:dyDescent="0.3">
      <c r="A372" s="27" t="s">
        <v>2758</v>
      </c>
      <c r="B372" s="27" t="s">
        <v>10</v>
      </c>
      <c r="C372">
        <v>103.95</v>
      </c>
      <c r="D372">
        <v>101.85</v>
      </c>
      <c r="E372">
        <v>-2.02</v>
      </c>
    </row>
    <row r="373" spans="1:5" x14ac:dyDescent="0.3">
      <c r="A373" s="27" t="s">
        <v>2759</v>
      </c>
      <c r="B373" s="27" t="s">
        <v>328</v>
      </c>
      <c r="C373">
        <v>2647.2</v>
      </c>
      <c r="D373">
        <v>2594.3000000000002</v>
      </c>
      <c r="E373">
        <v>-2</v>
      </c>
    </row>
    <row r="374" spans="1:5" x14ac:dyDescent="0.3">
      <c r="A374" s="27" t="s">
        <v>2760</v>
      </c>
      <c r="B374" s="27" t="s">
        <v>33</v>
      </c>
      <c r="C374">
        <v>679.1</v>
      </c>
      <c r="D374">
        <v>665.5</v>
      </c>
      <c r="E374">
        <v>-2</v>
      </c>
    </row>
    <row r="375" spans="1:5" x14ac:dyDescent="0.3">
      <c r="A375" s="27" t="s">
        <v>2761</v>
      </c>
      <c r="B375" s="27" t="s">
        <v>29</v>
      </c>
      <c r="C375">
        <v>47.45</v>
      </c>
      <c r="D375">
        <v>46.5</v>
      </c>
      <c r="E375">
        <v>-2</v>
      </c>
    </row>
    <row r="376" spans="1:5" x14ac:dyDescent="0.3">
      <c r="A376" s="27" t="s">
        <v>2762</v>
      </c>
      <c r="B376" s="27" t="s">
        <v>33</v>
      </c>
      <c r="C376">
        <v>10</v>
      </c>
      <c r="D376">
        <v>9.8000000000000007</v>
      </c>
      <c r="E376">
        <v>-2</v>
      </c>
    </row>
    <row r="377" spans="1:5" x14ac:dyDescent="0.3">
      <c r="A377" s="27" t="s">
        <v>2763</v>
      </c>
      <c r="B377" s="27" t="s">
        <v>328</v>
      </c>
      <c r="C377">
        <v>282.5</v>
      </c>
      <c r="D377">
        <v>276.85000000000002</v>
      </c>
      <c r="E377">
        <v>-2</v>
      </c>
    </row>
    <row r="378" spans="1:5" x14ac:dyDescent="0.3">
      <c r="A378" s="27" t="s">
        <v>2764</v>
      </c>
      <c r="B378" s="27" t="s">
        <v>22</v>
      </c>
      <c r="C378">
        <v>5</v>
      </c>
      <c r="D378">
        <v>4.9000000000000004</v>
      </c>
      <c r="E378">
        <v>-2</v>
      </c>
    </row>
    <row r="379" spans="1:5" x14ac:dyDescent="0.3">
      <c r="A379" s="27" t="s">
        <v>2765</v>
      </c>
      <c r="B379" s="27" t="s">
        <v>33</v>
      </c>
      <c r="C379">
        <v>47.6</v>
      </c>
      <c r="D379">
        <v>46.65</v>
      </c>
      <c r="E379">
        <v>-2</v>
      </c>
    </row>
    <row r="380" spans="1:5" x14ac:dyDescent="0.3">
      <c r="A380" s="27" t="s">
        <v>2766</v>
      </c>
      <c r="B380" s="27" t="s">
        <v>11</v>
      </c>
      <c r="C380">
        <v>27.55</v>
      </c>
      <c r="D380">
        <v>27</v>
      </c>
      <c r="E380">
        <v>-2</v>
      </c>
    </row>
    <row r="381" spans="1:5" x14ac:dyDescent="0.3">
      <c r="A381" s="27" t="s">
        <v>2767</v>
      </c>
      <c r="B381" s="27" t="s">
        <v>11</v>
      </c>
      <c r="C381">
        <v>35.1</v>
      </c>
      <c r="D381">
        <v>34.4</v>
      </c>
      <c r="E381">
        <v>-1.99</v>
      </c>
    </row>
    <row r="382" spans="1:5" x14ac:dyDescent="0.3">
      <c r="A382" s="27" t="s">
        <v>2768</v>
      </c>
      <c r="B382" s="27" t="s">
        <v>328</v>
      </c>
      <c r="C382">
        <v>11.56</v>
      </c>
      <c r="D382">
        <v>11.33</v>
      </c>
      <c r="E382">
        <v>-1.99</v>
      </c>
    </row>
    <row r="383" spans="1:5" x14ac:dyDescent="0.3">
      <c r="A383" s="27" t="s">
        <v>2769</v>
      </c>
      <c r="B383" s="27" t="s">
        <v>33</v>
      </c>
      <c r="C383">
        <v>42.85</v>
      </c>
      <c r="D383">
        <v>42</v>
      </c>
      <c r="E383">
        <v>-1.98</v>
      </c>
    </row>
    <row r="384" spans="1:5" x14ac:dyDescent="0.3">
      <c r="A384" s="27" t="s">
        <v>2770</v>
      </c>
      <c r="B384" s="27" t="s">
        <v>328</v>
      </c>
      <c r="C384">
        <v>8.6</v>
      </c>
      <c r="D384">
        <v>8.43</v>
      </c>
      <c r="E384">
        <v>-1.98</v>
      </c>
    </row>
    <row r="385" spans="1:5" x14ac:dyDescent="0.3">
      <c r="A385" s="27" t="s">
        <v>2771</v>
      </c>
      <c r="B385" s="27" t="s">
        <v>328</v>
      </c>
      <c r="C385">
        <v>6.55</v>
      </c>
      <c r="D385">
        <v>6.42</v>
      </c>
      <c r="E385">
        <v>-1.98</v>
      </c>
    </row>
    <row r="386" spans="1:5" x14ac:dyDescent="0.3">
      <c r="A386" s="27" t="s">
        <v>2772</v>
      </c>
      <c r="B386" s="27" t="s">
        <v>328</v>
      </c>
      <c r="C386">
        <v>45.6</v>
      </c>
      <c r="D386">
        <v>44.7</v>
      </c>
      <c r="E386">
        <v>-1.97</v>
      </c>
    </row>
    <row r="387" spans="1:5" x14ac:dyDescent="0.3">
      <c r="A387" s="27" t="s">
        <v>2773</v>
      </c>
      <c r="B387" s="27" t="s">
        <v>328</v>
      </c>
      <c r="C387">
        <v>55.9</v>
      </c>
      <c r="D387">
        <v>54.8</v>
      </c>
      <c r="E387">
        <v>-1.97</v>
      </c>
    </row>
    <row r="388" spans="1:5" x14ac:dyDescent="0.3">
      <c r="A388" s="27" t="s">
        <v>2774</v>
      </c>
      <c r="B388" s="27" t="s">
        <v>328</v>
      </c>
      <c r="C388">
        <v>149.85</v>
      </c>
      <c r="D388">
        <v>146.9</v>
      </c>
      <c r="E388">
        <v>-1.97</v>
      </c>
    </row>
    <row r="389" spans="1:5" x14ac:dyDescent="0.3">
      <c r="A389" s="27" t="s">
        <v>2775</v>
      </c>
      <c r="B389" s="27" t="s">
        <v>33</v>
      </c>
      <c r="C389">
        <v>0.51</v>
      </c>
      <c r="D389">
        <v>0.5</v>
      </c>
      <c r="E389">
        <v>-1.96</v>
      </c>
    </row>
    <row r="390" spans="1:5" x14ac:dyDescent="0.3">
      <c r="A390" s="27" t="s">
        <v>2776</v>
      </c>
      <c r="B390" s="27" t="s">
        <v>328</v>
      </c>
      <c r="C390">
        <v>1.53</v>
      </c>
      <c r="D390">
        <v>1.5</v>
      </c>
      <c r="E390">
        <v>-1.96</v>
      </c>
    </row>
    <row r="391" spans="1:5" x14ac:dyDescent="0.3">
      <c r="A391" s="27" t="s">
        <v>2777</v>
      </c>
      <c r="B391" s="27" t="s">
        <v>328</v>
      </c>
      <c r="C391">
        <v>0.51</v>
      </c>
      <c r="D391">
        <v>0.5</v>
      </c>
      <c r="E391">
        <v>-1.96</v>
      </c>
    </row>
    <row r="392" spans="1:5" x14ac:dyDescent="0.3">
      <c r="A392" s="27" t="s">
        <v>2778</v>
      </c>
      <c r="B392" s="27" t="s">
        <v>33</v>
      </c>
      <c r="C392">
        <v>79.45</v>
      </c>
      <c r="D392">
        <v>77.900000000000006</v>
      </c>
      <c r="E392">
        <v>-1.95</v>
      </c>
    </row>
    <row r="393" spans="1:5" x14ac:dyDescent="0.3">
      <c r="A393" s="27" t="s">
        <v>2779</v>
      </c>
      <c r="B393" s="27" t="s">
        <v>328</v>
      </c>
      <c r="C393">
        <v>33.4</v>
      </c>
      <c r="D393">
        <v>32.75</v>
      </c>
      <c r="E393">
        <v>-1.95</v>
      </c>
    </row>
    <row r="394" spans="1:5" x14ac:dyDescent="0.3">
      <c r="A394" s="27" t="s">
        <v>2780</v>
      </c>
      <c r="B394" s="27" t="s">
        <v>35</v>
      </c>
      <c r="C394">
        <v>7.7</v>
      </c>
      <c r="D394">
        <v>7.55</v>
      </c>
      <c r="E394">
        <v>-1.95</v>
      </c>
    </row>
    <row r="395" spans="1:5" x14ac:dyDescent="0.3">
      <c r="A395" s="27" t="s">
        <v>2781</v>
      </c>
      <c r="B395" s="27" t="s">
        <v>328</v>
      </c>
      <c r="C395">
        <v>82.25</v>
      </c>
      <c r="D395">
        <v>80.650000000000006</v>
      </c>
      <c r="E395">
        <v>-1.95</v>
      </c>
    </row>
    <row r="396" spans="1:5" x14ac:dyDescent="0.3">
      <c r="A396" s="27" t="s">
        <v>2782</v>
      </c>
      <c r="B396" s="27" t="s">
        <v>328</v>
      </c>
      <c r="C396">
        <v>10.3</v>
      </c>
      <c r="D396">
        <v>10.1</v>
      </c>
      <c r="E396">
        <v>-1.94</v>
      </c>
    </row>
    <row r="397" spans="1:5" x14ac:dyDescent="0.3">
      <c r="A397" s="27" t="s">
        <v>2783</v>
      </c>
      <c r="B397" s="27" t="s">
        <v>328</v>
      </c>
      <c r="C397">
        <v>14.95</v>
      </c>
      <c r="D397">
        <v>14.66</v>
      </c>
      <c r="E397">
        <v>-1.94</v>
      </c>
    </row>
    <row r="398" spans="1:5" x14ac:dyDescent="0.3">
      <c r="A398" s="27" t="s">
        <v>2784</v>
      </c>
      <c r="B398" s="27" t="s">
        <v>33</v>
      </c>
      <c r="C398">
        <v>13.9</v>
      </c>
      <c r="D398">
        <v>13.63</v>
      </c>
      <c r="E398">
        <v>-1.94</v>
      </c>
    </row>
    <row r="399" spans="1:5" x14ac:dyDescent="0.3">
      <c r="A399" s="27" t="s">
        <v>2785</v>
      </c>
      <c r="B399" s="27" t="s">
        <v>328</v>
      </c>
      <c r="C399">
        <v>11.89</v>
      </c>
      <c r="D399">
        <v>11.66</v>
      </c>
      <c r="E399">
        <v>-1.93</v>
      </c>
    </row>
    <row r="400" spans="1:5" x14ac:dyDescent="0.3">
      <c r="A400" s="27" t="s">
        <v>2786</v>
      </c>
      <c r="B400" s="27" t="s">
        <v>328</v>
      </c>
      <c r="C400">
        <v>46.6</v>
      </c>
      <c r="D400">
        <v>45.7</v>
      </c>
      <c r="E400">
        <v>-1.93</v>
      </c>
    </row>
    <row r="401" spans="1:5" x14ac:dyDescent="0.3">
      <c r="A401" s="27" t="s">
        <v>2787</v>
      </c>
      <c r="B401" s="27" t="s">
        <v>10</v>
      </c>
      <c r="C401">
        <v>597.65</v>
      </c>
      <c r="D401">
        <v>586.1</v>
      </c>
      <c r="E401">
        <v>-1.93</v>
      </c>
    </row>
    <row r="402" spans="1:5" x14ac:dyDescent="0.3">
      <c r="A402" s="27" t="s">
        <v>2788</v>
      </c>
      <c r="B402" s="27" t="s">
        <v>11</v>
      </c>
      <c r="C402">
        <v>108.65</v>
      </c>
      <c r="D402">
        <v>106.55</v>
      </c>
      <c r="E402">
        <v>-1.93</v>
      </c>
    </row>
    <row r="403" spans="1:5" x14ac:dyDescent="0.3">
      <c r="A403" s="27" t="s">
        <v>2789</v>
      </c>
      <c r="B403" s="27" t="s">
        <v>328</v>
      </c>
      <c r="C403">
        <v>7.76</v>
      </c>
      <c r="D403">
        <v>7.61</v>
      </c>
      <c r="E403">
        <v>-1.93</v>
      </c>
    </row>
    <row r="404" spans="1:5" x14ac:dyDescent="0.3">
      <c r="A404" s="27" t="s">
        <v>2790</v>
      </c>
      <c r="B404" s="27" t="s">
        <v>11</v>
      </c>
      <c r="C404">
        <v>23.45</v>
      </c>
      <c r="D404">
        <v>23</v>
      </c>
      <c r="E404">
        <v>-1.92</v>
      </c>
    </row>
    <row r="405" spans="1:5" x14ac:dyDescent="0.3">
      <c r="A405" s="27" t="s">
        <v>2791</v>
      </c>
      <c r="B405" s="27" t="s">
        <v>33</v>
      </c>
      <c r="C405">
        <v>5.2</v>
      </c>
      <c r="D405">
        <v>5.0999999999999996</v>
      </c>
      <c r="E405">
        <v>-1.92</v>
      </c>
    </row>
    <row r="406" spans="1:5" x14ac:dyDescent="0.3">
      <c r="A406" s="27" t="s">
        <v>2792</v>
      </c>
      <c r="B406" s="27" t="s">
        <v>33</v>
      </c>
      <c r="C406">
        <v>3.67</v>
      </c>
      <c r="D406">
        <v>3.6</v>
      </c>
      <c r="E406">
        <v>-1.91</v>
      </c>
    </row>
    <row r="407" spans="1:5" x14ac:dyDescent="0.3">
      <c r="A407" s="27" t="s">
        <v>2793</v>
      </c>
      <c r="B407" s="27" t="s">
        <v>33</v>
      </c>
      <c r="C407">
        <v>41.85</v>
      </c>
      <c r="D407">
        <v>41.05</v>
      </c>
      <c r="E407">
        <v>-1.91</v>
      </c>
    </row>
    <row r="408" spans="1:5" x14ac:dyDescent="0.3">
      <c r="A408" s="27" t="s">
        <v>2794</v>
      </c>
      <c r="B408" s="27" t="s">
        <v>328</v>
      </c>
      <c r="C408">
        <v>5.24</v>
      </c>
      <c r="D408">
        <v>5.14</v>
      </c>
      <c r="E408">
        <v>-1.91</v>
      </c>
    </row>
    <row r="409" spans="1:5" x14ac:dyDescent="0.3">
      <c r="A409" s="27" t="s">
        <v>2795</v>
      </c>
      <c r="B409" s="27" t="s">
        <v>33</v>
      </c>
      <c r="C409">
        <v>3.14</v>
      </c>
      <c r="D409">
        <v>3.08</v>
      </c>
      <c r="E409">
        <v>-1.91</v>
      </c>
    </row>
    <row r="410" spans="1:5" x14ac:dyDescent="0.3">
      <c r="A410" s="27" t="s">
        <v>2796</v>
      </c>
      <c r="B410" s="27" t="s">
        <v>10</v>
      </c>
      <c r="C410">
        <v>1049.55</v>
      </c>
      <c r="D410">
        <v>1029.55</v>
      </c>
      <c r="E410">
        <v>-1.91</v>
      </c>
    </row>
    <row r="411" spans="1:5" x14ac:dyDescent="0.3">
      <c r="A411" s="27" t="s">
        <v>2797</v>
      </c>
      <c r="B411" s="27" t="s">
        <v>328</v>
      </c>
      <c r="C411">
        <v>10.98</v>
      </c>
      <c r="D411">
        <v>10.77</v>
      </c>
      <c r="E411">
        <v>-1.91</v>
      </c>
    </row>
    <row r="412" spans="1:5" x14ac:dyDescent="0.3">
      <c r="A412" s="27" t="s">
        <v>2798</v>
      </c>
      <c r="B412" s="27" t="s">
        <v>328</v>
      </c>
      <c r="C412">
        <v>4.1900000000000004</v>
      </c>
      <c r="D412">
        <v>4.1100000000000003</v>
      </c>
      <c r="E412">
        <v>-1.91</v>
      </c>
    </row>
    <row r="413" spans="1:5" x14ac:dyDescent="0.3">
      <c r="A413" s="27" t="s">
        <v>2799</v>
      </c>
      <c r="B413" s="27" t="s">
        <v>11</v>
      </c>
      <c r="C413">
        <v>15.75</v>
      </c>
      <c r="D413">
        <v>15.45</v>
      </c>
      <c r="E413">
        <v>-1.9</v>
      </c>
    </row>
    <row r="414" spans="1:5" x14ac:dyDescent="0.3">
      <c r="A414" s="27" t="s">
        <v>2800</v>
      </c>
      <c r="B414" s="27" t="s">
        <v>328</v>
      </c>
      <c r="C414">
        <v>5.27</v>
      </c>
      <c r="D414">
        <v>5.17</v>
      </c>
      <c r="E414">
        <v>-1.9</v>
      </c>
    </row>
    <row r="415" spans="1:5" x14ac:dyDescent="0.3">
      <c r="A415" s="27" t="s">
        <v>2801</v>
      </c>
      <c r="B415" s="27" t="s">
        <v>11</v>
      </c>
      <c r="C415">
        <v>66.2</v>
      </c>
      <c r="D415">
        <v>64.95</v>
      </c>
      <c r="E415">
        <v>-1.89</v>
      </c>
    </row>
    <row r="416" spans="1:5" x14ac:dyDescent="0.3">
      <c r="A416" s="27" t="s">
        <v>2802</v>
      </c>
      <c r="B416" s="27" t="s">
        <v>10</v>
      </c>
      <c r="C416">
        <v>158.4</v>
      </c>
      <c r="D416">
        <v>155.4</v>
      </c>
      <c r="E416">
        <v>-1.89</v>
      </c>
    </row>
    <row r="417" spans="1:5" x14ac:dyDescent="0.3">
      <c r="A417" s="27" t="s">
        <v>2803</v>
      </c>
      <c r="B417" s="27" t="s">
        <v>35</v>
      </c>
      <c r="C417">
        <v>8.4600000000000009</v>
      </c>
      <c r="D417">
        <v>8.3000000000000007</v>
      </c>
      <c r="E417">
        <v>-1.89</v>
      </c>
    </row>
    <row r="418" spans="1:5" x14ac:dyDescent="0.3">
      <c r="A418" s="27" t="s">
        <v>2804</v>
      </c>
      <c r="B418" s="27" t="s">
        <v>328</v>
      </c>
      <c r="C418">
        <v>15.85</v>
      </c>
      <c r="D418">
        <v>15.55</v>
      </c>
      <c r="E418">
        <v>-1.89</v>
      </c>
    </row>
    <row r="419" spans="1:5" x14ac:dyDescent="0.3">
      <c r="A419" s="27" t="s">
        <v>2805</v>
      </c>
      <c r="B419" s="27" t="s">
        <v>328</v>
      </c>
      <c r="C419">
        <v>34.6</v>
      </c>
      <c r="D419">
        <v>33.950000000000003</v>
      </c>
      <c r="E419">
        <v>-1.88</v>
      </c>
    </row>
    <row r="420" spans="1:5" x14ac:dyDescent="0.3">
      <c r="A420" s="27" t="s">
        <v>2806</v>
      </c>
      <c r="B420" s="27" t="s">
        <v>11</v>
      </c>
      <c r="C420">
        <v>24</v>
      </c>
      <c r="D420">
        <v>23.55</v>
      </c>
      <c r="E420">
        <v>-1.88</v>
      </c>
    </row>
    <row r="421" spans="1:5" x14ac:dyDescent="0.3">
      <c r="A421" s="27" t="s">
        <v>2807</v>
      </c>
      <c r="B421" s="27" t="s">
        <v>328</v>
      </c>
      <c r="C421">
        <v>5.31</v>
      </c>
      <c r="D421">
        <v>5.21</v>
      </c>
      <c r="E421">
        <v>-1.88</v>
      </c>
    </row>
    <row r="422" spans="1:5" x14ac:dyDescent="0.3">
      <c r="A422" s="27" t="s">
        <v>2808</v>
      </c>
      <c r="B422" s="27" t="s">
        <v>35</v>
      </c>
      <c r="C422">
        <v>1.07</v>
      </c>
      <c r="D422">
        <v>1.05</v>
      </c>
      <c r="E422">
        <v>-1.87</v>
      </c>
    </row>
    <row r="423" spans="1:5" x14ac:dyDescent="0.3">
      <c r="A423" s="27" t="s">
        <v>2809</v>
      </c>
      <c r="B423" s="27" t="s">
        <v>328</v>
      </c>
      <c r="C423">
        <v>42.8</v>
      </c>
      <c r="D423">
        <v>42</v>
      </c>
      <c r="E423">
        <v>-1.87</v>
      </c>
    </row>
    <row r="424" spans="1:5" x14ac:dyDescent="0.3">
      <c r="A424" s="27" t="s">
        <v>2278</v>
      </c>
      <c r="B424" s="27" t="s">
        <v>33</v>
      </c>
      <c r="C424">
        <v>137.35</v>
      </c>
      <c r="D424">
        <v>134.80000000000001</v>
      </c>
      <c r="E424">
        <v>-1.86</v>
      </c>
    </row>
    <row r="425" spans="1:5" x14ac:dyDescent="0.3">
      <c r="A425" s="27" t="s">
        <v>2810</v>
      </c>
      <c r="B425" s="27" t="s">
        <v>11</v>
      </c>
      <c r="C425">
        <v>11.3</v>
      </c>
      <c r="D425">
        <v>11.09</v>
      </c>
      <c r="E425">
        <v>-1.86</v>
      </c>
    </row>
    <row r="426" spans="1:5" x14ac:dyDescent="0.3">
      <c r="A426" s="27" t="s">
        <v>2811</v>
      </c>
      <c r="B426" s="27" t="s">
        <v>328</v>
      </c>
      <c r="C426">
        <v>21.5</v>
      </c>
      <c r="D426">
        <v>21.1</v>
      </c>
      <c r="E426">
        <v>-1.86</v>
      </c>
    </row>
    <row r="427" spans="1:5" x14ac:dyDescent="0.3">
      <c r="A427" s="27" t="s">
        <v>2812</v>
      </c>
      <c r="B427" s="27" t="s">
        <v>328</v>
      </c>
      <c r="C427">
        <v>5.4</v>
      </c>
      <c r="D427">
        <v>5.3</v>
      </c>
      <c r="E427">
        <v>-1.85</v>
      </c>
    </row>
    <row r="428" spans="1:5" x14ac:dyDescent="0.3">
      <c r="A428" s="27" t="s">
        <v>2813</v>
      </c>
      <c r="B428" s="27" t="s">
        <v>11</v>
      </c>
      <c r="C428">
        <v>2343.35</v>
      </c>
      <c r="D428">
        <v>2300</v>
      </c>
      <c r="E428">
        <v>-1.85</v>
      </c>
    </row>
    <row r="429" spans="1:5" x14ac:dyDescent="0.3">
      <c r="A429" s="27" t="s">
        <v>2814</v>
      </c>
      <c r="B429" s="27" t="s">
        <v>10</v>
      </c>
      <c r="C429">
        <v>2037.95</v>
      </c>
      <c r="D429">
        <v>2000.2</v>
      </c>
      <c r="E429">
        <v>-1.85</v>
      </c>
    </row>
    <row r="430" spans="1:5" x14ac:dyDescent="0.3">
      <c r="A430" s="27" t="s">
        <v>2815</v>
      </c>
      <c r="B430" s="27" t="s">
        <v>33</v>
      </c>
      <c r="C430">
        <v>59.35</v>
      </c>
      <c r="D430">
        <v>58.25</v>
      </c>
      <c r="E430">
        <v>-1.85</v>
      </c>
    </row>
    <row r="431" spans="1:5" x14ac:dyDescent="0.3">
      <c r="A431" s="27" t="s">
        <v>2816</v>
      </c>
      <c r="B431" s="27" t="s">
        <v>328</v>
      </c>
      <c r="C431">
        <v>12.99</v>
      </c>
      <c r="D431">
        <v>12.75</v>
      </c>
      <c r="E431">
        <v>-1.85</v>
      </c>
    </row>
    <row r="432" spans="1:5" x14ac:dyDescent="0.3">
      <c r="A432" s="27" t="s">
        <v>2817</v>
      </c>
      <c r="B432" s="27" t="s">
        <v>35</v>
      </c>
      <c r="C432">
        <v>2.7</v>
      </c>
      <c r="D432">
        <v>2.65</v>
      </c>
      <c r="E432">
        <v>-1.85</v>
      </c>
    </row>
    <row r="433" spans="1:5" x14ac:dyDescent="0.3">
      <c r="A433" s="27" t="s">
        <v>2818</v>
      </c>
      <c r="B433" s="27" t="s">
        <v>33</v>
      </c>
      <c r="C433">
        <v>92.55</v>
      </c>
      <c r="D433">
        <v>90.85</v>
      </c>
      <c r="E433">
        <v>-1.84</v>
      </c>
    </row>
    <row r="434" spans="1:5" x14ac:dyDescent="0.3">
      <c r="A434" s="27" t="s">
        <v>2819</v>
      </c>
      <c r="B434" s="27" t="s">
        <v>10</v>
      </c>
      <c r="C434">
        <v>184.15</v>
      </c>
      <c r="D434">
        <v>180.8</v>
      </c>
      <c r="E434">
        <v>-1.82</v>
      </c>
    </row>
    <row r="435" spans="1:5" x14ac:dyDescent="0.3">
      <c r="A435" s="27" t="s">
        <v>2820</v>
      </c>
      <c r="B435" s="27" t="s">
        <v>11</v>
      </c>
      <c r="C435">
        <v>3.85</v>
      </c>
      <c r="D435">
        <v>3.78</v>
      </c>
      <c r="E435">
        <v>-1.82</v>
      </c>
    </row>
    <row r="436" spans="1:5" x14ac:dyDescent="0.3">
      <c r="A436" s="27" t="s">
        <v>2821</v>
      </c>
      <c r="B436" s="27" t="s">
        <v>328</v>
      </c>
      <c r="C436">
        <v>5.5</v>
      </c>
      <c r="D436">
        <v>5.4</v>
      </c>
      <c r="E436">
        <v>-1.82</v>
      </c>
    </row>
    <row r="437" spans="1:5" x14ac:dyDescent="0.3">
      <c r="A437" s="27" t="s">
        <v>2822</v>
      </c>
      <c r="B437" s="27" t="s">
        <v>328</v>
      </c>
      <c r="C437">
        <v>16.5</v>
      </c>
      <c r="D437">
        <v>16.2</v>
      </c>
      <c r="E437">
        <v>-1.82</v>
      </c>
    </row>
    <row r="438" spans="1:5" x14ac:dyDescent="0.3">
      <c r="A438" s="27" t="s">
        <v>2823</v>
      </c>
      <c r="B438" s="27" t="s">
        <v>33</v>
      </c>
      <c r="C438">
        <v>16.5</v>
      </c>
      <c r="D438">
        <v>16.2</v>
      </c>
      <c r="E438">
        <v>-1.82</v>
      </c>
    </row>
    <row r="439" spans="1:5" x14ac:dyDescent="0.3">
      <c r="A439" s="27" t="s">
        <v>2824</v>
      </c>
      <c r="B439" s="27" t="s">
        <v>33</v>
      </c>
      <c r="C439">
        <v>107.95</v>
      </c>
      <c r="D439">
        <v>106</v>
      </c>
      <c r="E439">
        <v>-1.81</v>
      </c>
    </row>
    <row r="440" spans="1:5" x14ac:dyDescent="0.3">
      <c r="A440" s="27" t="s">
        <v>2825</v>
      </c>
      <c r="B440" s="27" t="s">
        <v>33</v>
      </c>
      <c r="C440">
        <v>91</v>
      </c>
      <c r="D440">
        <v>89.35</v>
      </c>
      <c r="E440">
        <v>-1.81</v>
      </c>
    </row>
    <row r="441" spans="1:5" x14ac:dyDescent="0.3">
      <c r="A441" s="27" t="s">
        <v>2826</v>
      </c>
      <c r="B441" s="27" t="s">
        <v>29</v>
      </c>
      <c r="C441">
        <v>22.15</v>
      </c>
      <c r="D441">
        <v>21.75</v>
      </c>
      <c r="E441">
        <v>-1.81</v>
      </c>
    </row>
    <row r="442" spans="1:5" x14ac:dyDescent="0.3">
      <c r="A442" s="27" t="s">
        <v>2827</v>
      </c>
      <c r="B442" s="27" t="s">
        <v>11</v>
      </c>
      <c r="C442">
        <v>11.04</v>
      </c>
      <c r="D442">
        <v>10.84</v>
      </c>
      <c r="E442">
        <v>-1.81</v>
      </c>
    </row>
    <row r="443" spans="1:5" x14ac:dyDescent="0.3">
      <c r="A443" s="27" t="s">
        <v>2828</v>
      </c>
      <c r="B443" s="27" t="s">
        <v>35</v>
      </c>
      <c r="C443">
        <v>16.600000000000001</v>
      </c>
      <c r="D443">
        <v>16.3</v>
      </c>
      <c r="E443">
        <v>-1.81</v>
      </c>
    </row>
    <row r="444" spans="1:5" x14ac:dyDescent="0.3">
      <c r="A444" s="27" t="s">
        <v>2829</v>
      </c>
      <c r="B444" s="27" t="s">
        <v>33</v>
      </c>
      <c r="C444">
        <v>11.1</v>
      </c>
      <c r="D444">
        <v>10.9</v>
      </c>
      <c r="E444">
        <v>-1.8</v>
      </c>
    </row>
    <row r="445" spans="1:5" x14ac:dyDescent="0.3">
      <c r="A445" s="27" t="s">
        <v>2830</v>
      </c>
      <c r="B445" s="27" t="s">
        <v>33</v>
      </c>
      <c r="C445">
        <v>4.4800000000000004</v>
      </c>
      <c r="D445">
        <v>4.4000000000000004</v>
      </c>
      <c r="E445">
        <v>-1.79</v>
      </c>
    </row>
    <row r="446" spans="1:5" x14ac:dyDescent="0.3">
      <c r="A446" s="27" t="s">
        <v>2831</v>
      </c>
      <c r="B446" s="27" t="s">
        <v>328</v>
      </c>
      <c r="C446">
        <v>3.35</v>
      </c>
      <c r="D446">
        <v>3.29</v>
      </c>
      <c r="E446">
        <v>-1.79</v>
      </c>
    </row>
    <row r="447" spans="1:5" x14ac:dyDescent="0.3">
      <c r="A447" s="27" t="s">
        <v>2832</v>
      </c>
      <c r="B447" s="27" t="s">
        <v>328</v>
      </c>
      <c r="C447">
        <v>22.4</v>
      </c>
      <c r="D447">
        <v>22</v>
      </c>
      <c r="E447">
        <v>-1.79</v>
      </c>
    </row>
    <row r="448" spans="1:5" x14ac:dyDescent="0.3">
      <c r="A448" s="27" t="s">
        <v>2833</v>
      </c>
      <c r="B448" s="27" t="s">
        <v>328</v>
      </c>
      <c r="C448">
        <v>6.72</v>
      </c>
      <c r="D448">
        <v>6.6</v>
      </c>
      <c r="E448">
        <v>-1.79</v>
      </c>
    </row>
    <row r="449" spans="1:5" x14ac:dyDescent="0.3">
      <c r="A449" s="27" t="s">
        <v>2834</v>
      </c>
      <c r="B449" s="27" t="s">
        <v>11</v>
      </c>
      <c r="C449">
        <v>7.32</v>
      </c>
      <c r="D449">
        <v>7.19</v>
      </c>
      <c r="E449">
        <v>-1.78</v>
      </c>
    </row>
    <row r="450" spans="1:5" x14ac:dyDescent="0.3">
      <c r="A450" s="27" t="s">
        <v>2835</v>
      </c>
      <c r="B450" s="27" t="s">
        <v>33</v>
      </c>
      <c r="C450">
        <v>19.649999999999999</v>
      </c>
      <c r="D450">
        <v>19.3</v>
      </c>
      <c r="E450">
        <v>-1.78</v>
      </c>
    </row>
    <row r="451" spans="1:5" x14ac:dyDescent="0.3">
      <c r="A451" s="27" t="s">
        <v>2836</v>
      </c>
      <c r="B451" s="27" t="s">
        <v>33</v>
      </c>
      <c r="C451">
        <v>123.7</v>
      </c>
      <c r="D451">
        <v>121.5</v>
      </c>
      <c r="E451">
        <v>-1.78</v>
      </c>
    </row>
    <row r="452" spans="1:5" x14ac:dyDescent="0.3">
      <c r="A452" s="27" t="s">
        <v>2837</v>
      </c>
      <c r="B452" s="27" t="s">
        <v>29</v>
      </c>
      <c r="C452">
        <v>90.55</v>
      </c>
      <c r="D452">
        <v>88.95</v>
      </c>
      <c r="E452">
        <v>-1.77</v>
      </c>
    </row>
    <row r="453" spans="1:5" x14ac:dyDescent="0.3">
      <c r="A453" s="27" t="s">
        <v>2838</v>
      </c>
      <c r="B453" s="27" t="s">
        <v>11</v>
      </c>
      <c r="C453">
        <v>31.25</v>
      </c>
      <c r="D453">
        <v>30.7</v>
      </c>
      <c r="E453">
        <v>-1.76</v>
      </c>
    </row>
    <row r="454" spans="1:5" x14ac:dyDescent="0.3">
      <c r="A454" s="27" t="s">
        <v>2839</v>
      </c>
      <c r="B454" s="27" t="s">
        <v>33</v>
      </c>
      <c r="C454">
        <v>2.84</v>
      </c>
      <c r="D454">
        <v>2.79</v>
      </c>
      <c r="E454">
        <v>-1.76</v>
      </c>
    </row>
    <row r="455" spans="1:5" x14ac:dyDescent="0.3">
      <c r="A455" s="27" t="s">
        <v>2840</v>
      </c>
      <c r="B455" s="27" t="s">
        <v>29</v>
      </c>
      <c r="C455">
        <v>2.84</v>
      </c>
      <c r="D455">
        <v>2.79</v>
      </c>
      <c r="E455">
        <v>-1.76</v>
      </c>
    </row>
    <row r="456" spans="1:5" x14ac:dyDescent="0.3">
      <c r="A456" s="27" t="s">
        <v>2841</v>
      </c>
      <c r="B456" s="27" t="s">
        <v>33</v>
      </c>
      <c r="C456">
        <v>19.95</v>
      </c>
      <c r="D456">
        <v>19.600000000000001</v>
      </c>
      <c r="E456">
        <v>-1.75</v>
      </c>
    </row>
    <row r="457" spans="1:5" x14ac:dyDescent="0.3">
      <c r="A457" s="27" t="s">
        <v>2842</v>
      </c>
      <c r="B457" s="27" t="s">
        <v>11</v>
      </c>
      <c r="C457">
        <v>283.55</v>
      </c>
      <c r="D457">
        <v>278.60000000000002</v>
      </c>
      <c r="E457">
        <v>-1.75</v>
      </c>
    </row>
    <row r="458" spans="1:5" x14ac:dyDescent="0.3">
      <c r="A458" s="27" t="s">
        <v>2843</v>
      </c>
      <c r="B458" s="27" t="s">
        <v>33</v>
      </c>
      <c r="C458">
        <v>7.44</v>
      </c>
      <c r="D458">
        <v>7.31</v>
      </c>
      <c r="E458">
        <v>-1.75</v>
      </c>
    </row>
    <row r="459" spans="1:5" x14ac:dyDescent="0.3">
      <c r="A459" s="27" t="s">
        <v>2844</v>
      </c>
      <c r="B459" s="27" t="s">
        <v>35</v>
      </c>
      <c r="C459">
        <v>0.56999999999999995</v>
      </c>
      <c r="D459">
        <v>0.56000000000000005</v>
      </c>
      <c r="E459">
        <v>-1.75</v>
      </c>
    </row>
    <row r="460" spans="1:5" x14ac:dyDescent="0.3">
      <c r="A460" s="27" t="s">
        <v>2845</v>
      </c>
      <c r="B460" s="27" t="s">
        <v>29</v>
      </c>
      <c r="C460">
        <v>5.7</v>
      </c>
      <c r="D460">
        <v>5.6</v>
      </c>
      <c r="E460">
        <v>-1.75</v>
      </c>
    </row>
    <row r="461" spans="1:5" x14ac:dyDescent="0.3">
      <c r="A461" s="27" t="s">
        <v>2846</v>
      </c>
      <c r="B461" s="27" t="s">
        <v>33</v>
      </c>
      <c r="C461">
        <v>40.200000000000003</v>
      </c>
      <c r="D461">
        <v>39.5</v>
      </c>
      <c r="E461">
        <v>-1.74</v>
      </c>
    </row>
    <row r="462" spans="1:5" x14ac:dyDescent="0.3">
      <c r="A462" s="27" t="s">
        <v>2847</v>
      </c>
      <c r="B462" s="27" t="s">
        <v>33</v>
      </c>
      <c r="C462">
        <v>1.73</v>
      </c>
      <c r="D462">
        <v>1.7</v>
      </c>
      <c r="E462">
        <v>-1.73</v>
      </c>
    </row>
    <row r="463" spans="1:5" x14ac:dyDescent="0.3">
      <c r="A463" s="27" t="s">
        <v>2259</v>
      </c>
      <c r="B463" s="27" t="s">
        <v>11</v>
      </c>
      <c r="C463">
        <v>463.55</v>
      </c>
      <c r="D463">
        <v>455.6</v>
      </c>
      <c r="E463">
        <v>-1.72</v>
      </c>
    </row>
    <row r="464" spans="1:5" x14ac:dyDescent="0.3">
      <c r="A464" s="27" t="s">
        <v>2848</v>
      </c>
      <c r="B464" s="27" t="s">
        <v>33</v>
      </c>
      <c r="C464">
        <v>3.49</v>
      </c>
      <c r="D464">
        <v>3.43</v>
      </c>
      <c r="E464">
        <v>-1.72</v>
      </c>
    </row>
    <row r="465" spans="1:5" x14ac:dyDescent="0.3">
      <c r="A465" s="27" t="s">
        <v>2849</v>
      </c>
      <c r="B465" s="27" t="s">
        <v>11</v>
      </c>
      <c r="C465">
        <v>459.85</v>
      </c>
      <c r="D465">
        <v>451.95</v>
      </c>
      <c r="E465">
        <v>-1.72</v>
      </c>
    </row>
    <row r="466" spans="1:5" x14ac:dyDescent="0.3">
      <c r="A466" s="27" t="s">
        <v>2850</v>
      </c>
      <c r="B466" s="27" t="s">
        <v>33</v>
      </c>
      <c r="C466">
        <v>23.35</v>
      </c>
      <c r="D466">
        <v>22.95</v>
      </c>
      <c r="E466">
        <v>-1.71</v>
      </c>
    </row>
    <row r="467" spans="1:5" x14ac:dyDescent="0.3">
      <c r="A467" s="27" t="s">
        <v>2851</v>
      </c>
      <c r="B467" s="27" t="s">
        <v>10</v>
      </c>
      <c r="C467">
        <v>122.85</v>
      </c>
      <c r="D467">
        <v>120.75</v>
      </c>
      <c r="E467">
        <v>-1.71</v>
      </c>
    </row>
    <row r="468" spans="1:5" x14ac:dyDescent="0.3">
      <c r="A468" s="27" t="s">
        <v>2852</v>
      </c>
      <c r="B468" s="27" t="s">
        <v>11</v>
      </c>
      <c r="C468">
        <v>8.83</v>
      </c>
      <c r="D468">
        <v>8.68</v>
      </c>
      <c r="E468">
        <v>-1.7</v>
      </c>
    </row>
    <row r="469" spans="1:5" x14ac:dyDescent="0.3">
      <c r="A469" s="27" t="s">
        <v>2853</v>
      </c>
      <c r="B469" s="27" t="s">
        <v>10</v>
      </c>
      <c r="C469">
        <v>2049.35</v>
      </c>
      <c r="D469">
        <v>2015.1</v>
      </c>
      <c r="E469">
        <v>-1.67</v>
      </c>
    </row>
    <row r="470" spans="1:5" x14ac:dyDescent="0.3">
      <c r="A470" s="27" t="s">
        <v>2854</v>
      </c>
      <c r="B470" s="27" t="s">
        <v>328</v>
      </c>
      <c r="C470">
        <v>5.39</v>
      </c>
      <c r="D470">
        <v>5.3</v>
      </c>
      <c r="E470">
        <v>-1.67</v>
      </c>
    </row>
    <row r="471" spans="1:5" x14ac:dyDescent="0.3">
      <c r="A471" s="27" t="s">
        <v>2855</v>
      </c>
      <c r="B471" s="27" t="s">
        <v>33</v>
      </c>
      <c r="C471">
        <v>60</v>
      </c>
      <c r="D471">
        <v>59</v>
      </c>
      <c r="E471">
        <v>-1.67</v>
      </c>
    </row>
    <row r="472" spans="1:5" x14ac:dyDescent="0.3">
      <c r="A472" s="27" t="s">
        <v>2856</v>
      </c>
      <c r="B472" s="27" t="s">
        <v>10</v>
      </c>
      <c r="C472">
        <v>376.3</v>
      </c>
      <c r="D472">
        <v>370</v>
      </c>
      <c r="E472">
        <v>-1.67</v>
      </c>
    </row>
    <row r="473" spans="1:5" x14ac:dyDescent="0.3">
      <c r="A473" s="27" t="s">
        <v>2857</v>
      </c>
      <c r="B473" s="27" t="s">
        <v>328</v>
      </c>
      <c r="C473">
        <v>2.41</v>
      </c>
      <c r="D473">
        <v>2.37</v>
      </c>
      <c r="E473">
        <v>-1.66</v>
      </c>
    </row>
    <row r="474" spans="1:5" x14ac:dyDescent="0.3">
      <c r="A474" s="27" t="s">
        <v>2858</v>
      </c>
      <c r="B474" s="27" t="s">
        <v>33</v>
      </c>
      <c r="C474">
        <v>12.76</v>
      </c>
      <c r="D474">
        <v>12.55</v>
      </c>
      <c r="E474">
        <v>-1.65</v>
      </c>
    </row>
    <row r="475" spans="1:5" x14ac:dyDescent="0.3">
      <c r="A475" s="27" t="s">
        <v>2859</v>
      </c>
      <c r="B475" s="27" t="s">
        <v>10</v>
      </c>
      <c r="C475">
        <v>1452.8</v>
      </c>
      <c r="D475">
        <v>1428.85</v>
      </c>
      <c r="E475">
        <v>-1.65</v>
      </c>
    </row>
    <row r="476" spans="1:5" x14ac:dyDescent="0.3">
      <c r="A476" s="27" t="s">
        <v>2860</v>
      </c>
      <c r="B476" s="27" t="s">
        <v>33</v>
      </c>
      <c r="C476">
        <v>500.15</v>
      </c>
      <c r="D476">
        <v>491.9</v>
      </c>
      <c r="E476">
        <v>-1.65</v>
      </c>
    </row>
    <row r="477" spans="1:5" x14ac:dyDescent="0.3">
      <c r="A477" s="27" t="s">
        <v>2861</v>
      </c>
      <c r="B477" s="27" t="s">
        <v>328</v>
      </c>
      <c r="C477">
        <v>6.1</v>
      </c>
      <c r="D477">
        <v>6</v>
      </c>
      <c r="E477">
        <v>-1.64</v>
      </c>
    </row>
    <row r="478" spans="1:5" x14ac:dyDescent="0.3">
      <c r="A478" s="27" t="s">
        <v>2862</v>
      </c>
      <c r="B478" s="27" t="s">
        <v>35</v>
      </c>
      <c r="C478">
        <v>1.83</v>
      </c>
      <c r="D478">
        <v>1.8</v>
      </c>
      <c r="E478">
        <v>-1.64</v>
      </c>
    </row>
    <row r="479" spans="1:5" x14ac:dyDescent="0.3">
      <c r="A479" s="27" t="s">
        <v>2863</v>
      </c>
      <c r="B479" s="27" t="s">
        <v>328</v>
      </c>
      <c r="C479">
        <v>3.05</v>
      </c>
      <c r="D479">
        <v>3</v>
      </c>
      <c r="E479">
        <v>-1.64</v>
      </c>
    </row>
    <row r="480" spans="1:5" x14ac:dyDescent="0.3">
      <c r="A480" s="27" t="s">
        <v>2864</v>
      </c>
      <c r="B480" s="27" t="s">
        <v>33</v>
      </c>
      <c r="C480">
        <v>0.61</v>
      </c>
      <c r="D480">
        <v>0.6</v>
      </c>
      <c r="E480">
        <v>-1.64</v>
      </c>
    </row>
    <row r="481" spans="1:5" x14ac:dyDescent="0.3">
      <c r="A481" s="27" t="s">
        <v>2865</v>
      </c>
      <c r="B481" s="27" t="s">
        <v>11</v>
      </c>
      <c r="C481">
        <v>83</v>
      </c>
      <c r="D481">
        <v>81.650000000000006</v>
      </c>
      <c r="E481">
        <v>-1.63</v>
      </c>
    </row>
    <row r="482" spans="1:5" x14ac:dyDescent="0.3">
      <c r="A482" s="27" t="s">
        <v>2866</v>
      </c>
      <c r="B482" s="27" t="s">
        <v>11</v>
      </c>
      <c r="C482">
        <v>6.15</v>
      </c>
      <c r="D482">
        <v>6.05</v>
      </c>
      <c r="E482">
        <v>-1.63</v>
      </c>
    </row>
    <row r="483" spans="1:5" x14ac:dyDescent="0.3">
      <c r="A483" s="27" t="s">
        <v>2867</v>
      </c>
      <c r="B483" s="27" t="s">
        <v>11</v>
      </c>
      <c r="C483">
        <v>5.6</v>
      </c>
      <c r="D483">
        <v>5.51</v>
      </c>
      <c r="E483">
        <v>-1.61</v>
      </c>
    </row>
    <row r="484" spans="1:5" x14ac:dyDescent="0.3">
      <c r="A484" s="27" t="s">
        <v>2868</v>
      </c>
      <c r="B484" s="27" t="s">
        <v>33</v>
      </c>
      <c r="C484">
        <v>149.5</v>
      </c>
      <c r="D484">
        <v>147.1</v>
      </c>
      <c r="E484">
        <v>-1.61</v>
      </c>
    </row>
    <row r="485" spans="1:5" x14ac:dyDescent="0.3">
      <c r="A485" s="27" t="s">
        <v>2869</v>
      </c>
      <c r="B485" s="27" t="s">
        <v>10</v>
      </c>
      <c r="C485">
        <v>853.45</v>
      </c>
      <c r="D485">
        <v>839.8</v>
      </c>
      <c r="E485">
        <v>-1.6</v>
      </c>
    </row>
    <row r="486" spans="1:5" x14ac:dyDescent="0.3">
      <c r="A486" s="27" t="s">
        <v>2870</v>
      </c>
      <c r="B486" s="27" t="s">
        <v>11</v>
      </c>
      <c r="C486">
        <v>1.88</v>
      </c>
      <c r="D486">
        <v>1.85</v>
      </c>
      <c r="E486">
        <v>-1.6</v>
      </c>
    </row>
    <row r="487" spans="1:5" x14ac:dyDescent="0.3">
      <c r="A487" s="27" t="s">
        <v>2871</v>
      </c>
      <c r="B487" s="27" t="s">
        <v>33</v>
      </c>
      <c r="C487">
        <v>46.75</v>
      </c>
      <c r="D487">
        <v>46</v>
      </c>
      <c r="E487">
        <v>-1.6</v>
      </c>
    </row>
    <row r="488" spans="1:5" x14ac:dyDescent="0.3">
      <c r="A488" s="27" t="s">
        <v>2872</v>
      </c>
      <c r="B488" s="27" t="s">
        <v>328</v>
      </c>
      <c r="C488">
        <v>0.63</v>
      </c>
      <c r="D488">
        <v>0.62</v>
      </c>
      <c r="E488">
        <v>-1.59</v>
      </c>
    </row>
    <row r="489" spans="1:5" x14ac:dyDescent="0.3">
      <c r="A489" s="27" t="s">
        <v>2873</v>
      </c>
      <c r="B489" s="27" t="s">
        <v>33</v>
      </c>
      <c r="C489">
        <v>180.85</v>
      </c>
      <c r="D489">
        <v>178</v>
      </c>
      <c r="E489">
        <v>-1.58</v>
      </c>
    </row>
    <row r="490" spans="1:5" x14ac:dyDescent="0.3">
      <c r="A490" s="27" t="s">
        <v>2874</v>
      </c>
      <c r="B490" s="27" t="s">
        <v>29</v>
      </c>
      <c r="C490">
        <v>57.1</v>
      </c>
      <c r="D490">
        <v>56.2</v>
      </c>
      <c r="E490">
        <v>-1.58</v>
      </c>
    </row>
    <row r="491" spans="1:5" x14ac:dyDescent="0.3">
      <c r="A491" s="27" t="s">
        <v>2875</v>
      </c>
      <c r="B491" s="27" t="s">
        <v>11</v>
      </c>
      <c r="C491">
        <v>25.3</v>
      </c>
      <c r="D491">
        <v>24.9</v>
      </c>
      <c r="E491">
        <v>-1.58</v>
      </c>
    </row>
    <row r="492" spans="1:5" x14ac:dyDescent="0.3">
      <c r="A492" s="27" t="s">
        <v>2876</v>
      </c>
      <c r="B492" s="27" t="s">
        <v>33</v>
      </c>
      <c r="C492">
        <v>1.9</v>
      </c>
      <c r="D492">
        <v>1.87</v>
      </c>
      <c r="E492">
        <v>-1.58</v>
      </c>
    </row>
    <row r="493" spans="1:5" x14ac:dyDescent="0.3">
      <c r="A493" s="27" t="s">
        <v>2877</v>
      </c>
      <c r="B493" s="27" t="s">
        <v>328</v>
      </c>
      <c r="C493">
        <v>1.92</v>
      </c>
      <c r="D493">
        <v>1.89</v>
      </c>
      <c r="E493">
        <v>-1.56</v>
      </c>
    </row>
    <row r="494" spans="1:5" x14ac:dyDescent="0.3">
      <c r="A494" s="27" t="s">
        <v>2878</v>
      </c>
      <c r="B494" s="27" t="s">
        <v>35</v>
      </c>
      <c r="C494">
        <v>5.13</v>
      </c>
      <c r="D494">
        <v>5.05</v>
      </c>
      <c r="E494">
        <v>-1.56</v>
      </c>
    </row>
    <row r="495" spans="1:5" x14ac:dyDescent="0.3">
      <c r="A495" s="27" t="s">
        <v>2879</v>
      </c>
      <c r="B495" s="27" t="s">
        <v>33</v>
      </c>
      <c r="C495">
        <v>1.28</v>
      </c>
      <c r="D495">
        <v>1.26</v>
      </c>
      <c r="E495">
        <v>-1.56</v>
      </c>
    </row>
    <row r="496" spans="1:5" x14ac:dyDescent="0.3">
      <c r="A496" s="27" t="s">
        <v>2880</v>
      </c>
      <c r="B496" s="27" t="s">
        <v>10</v>
      </c>
      <c r="C496">
        <v>212.35</v>
      </c>
      <c r="D496">
        <v>209.05</v>
      </c>
      <c r="E496">
        <v>-1.55</v>
      </c>
    </row>
    <row r="497" spans="1:5" x14ac:dyDescent="0.3">
      <c r="A497" s="27" t="s">
        <v>2881</v>
      </c>
      <c r="B497" s="27" t="s">
        <v>328</v>
      </c>
      <c r="C497">
        <v>32.5</v>
      </c>
      <c r="D497">
        <v>32</v>
      </c>
      <c r="E497">
        <v>-1.54</v>
      </c>
    </row>
    <row r="498" spans="1:5" x14ac:dyDescent="0.3">
      <c r="A498" s="27" t="s">
        <v>2882</v>
      </c>
      <c r="B498" s="27" t="s">
        <v>33</v>
      </c>
      <c r="C498">
        <v>174.8</v>
      </c>
      <c r="D498">
        <v>172.1</v>
      </c>
      <c r="E498">
        <v>-1.54</v>
      </c>
    </row>
    <row r="499" spans="1:5" x14ac:dyDescent="0.3">
      <c r="A499" s="27" t="s">
        <v>2883</v>
      </c>
      <c r="B499" s="27" t="s">
        <v>11</v>
      </c>
      <c r="C499">
        <v>162.44999999999999</v>
      </c>
      <c r="D499">
        <v>159.94999999999999</v>
      </c>
      <c r="E499">
        <v>-1.54</v>
      </c>
    </row>
    <row r="500" spans="1:5" x14ac:dyDescent="0.3">
      <c r="A500" s="27" t="s">
        <v>2884</v>
      </c>
      <c r="B500" s="27" t="s">
        <v>33</v>
      </c>
      <c r="C500">
        <v>392.9</v>
      </c>
      <c r="D500">
        <v>386.9</v>
      </c>
      <c r="E500">
        <v>-1.53</v>
      </c>
    </row>
    <row r="501" spans="1:5" x14ac:dyDescent="0.3">
      <c r="A501" s="27" t="s">
        <v>2885</v>
      </c>
      <c r="B501" s="27" t="s">
        <v>33</v>
      </c>
      <c r="C501">
        <v>4.59</v>
      </c>
      <c r="D501">
        <v>4.5199999999999996</v>
      </c>
      <c r="E501">
        <v>-1.53</v>
      </c>
    </row>
    <row r="502" spans="1:5" x14ac:dyDescent="0.3">
      <c r="A502" s="27" t="s">
        <v>2886</v>
      </c>
      <c r="B502" s="27" t="s">
        <v>328</v>
      </c>
      <c r="C502">
        <v>1.98</v>
      </c>
      <c r="D502">
        <v>1.95</v>
      </c>
      <c r="E502">
        <v>-1.52</v>
      </c>
    </row>
    <row r="503" spans="1:5" x14ac:dyDescent="0.3">
      <c r="A503" s="27" t="s">
        <v>2887</v>
      </c>
      <c r="B503" s="27" t="s">
        <v>11</v>
      </c>
      <c r="C503">
        <v>5.99</v>
      </c>
      <c r="D503">
        <v>5.9</v>
      </c>
      <c r="E503">
        <v>-1.5</v>
      </c>
    </row>
    <row r="504" spans="1:5" x14ac:dyDescent="0.3">
      <c r="A504" s="27" t="s">
        <v>2888</v>
      </c>
      <c r="B504" s="27" t="s">
        <v>10</v>
      </c>
      <c r="C504">
        <v>244.45</v>
      </c>
      <c r="D504">
        <v>240.8</v>
      </c>
      <c r="E504">
        <v>-1.49</v>
      </c>
    </row>
    <row r="505" spans="1:5" x14ac:dyDescent="0.3">
      <c r="A505" s="27" t="s">
        <v>2889</v>
      </c>
      <c r="B505" s="27" t="s">
        <v>10</v>
      </c>
      <c r="C505">
        <v>360.5</v>
      </c>
      <c r="D505">
        <v>355.2</v>
      </c>
      <c r="E505">
        <v>-1.47</v>
      </c>
    </row>
    <row r="506" spans="1:5" x14ac:dyDescent="0.3">
      <c r="A506" s="27" t="s">
        <v>2890</v>
      </c>
      <c r="B506" s="27" t="s">
        <v>33</v>
      </c>
      <c r="C506">
        <v>20.6</v>
      </c>
      <c r="D506">
        <v>20.3</v>
      </c>
      <c r="E506">
        <v>-1.46</v>
      </c>
    </row>
    <row r="507" spans="1:5" x14ac:dyDescent="0.3">
      <c r="A507" s="27" t="s">
        <v>2891</v>
      </c>
      <c r="B507" s="27" t="s">
        <v>29</v>
      </c>
      <c r="C507">
        <v>31.25</v>
      </c>
      <c r="D507">
        <v>30.8</v>
      </c>
      <c r="E507">
        <v>-1.44</v>
      </c>
    </row>
    <row r="508" spans="1:5" x14ac:dyDescent="0.3">
      <c r="A508" s="27" t="s">
        <v>2892</v>
      </c>
      <c r="B508" s="27" t="s">
        <v>11</v>
      </c>
      <c r="C508">
        <v>27.95</v>
      </c>
      <c r="D508">
        <v>27.55</v>
      </c>
      <c r="E508">
        <v>-1.43</v>
      </c>
    </row>
    <row r="509" spans="1:5" x14ac:dyDescent="0.3">
      <c r="A509" s="27" t="s">
        <v>2893</v>
      </c>
      <c r="B509" s="27" t="s">
        <v>33</v>
      </c>
      <c r="C509">
        <v>34.9</v>
      </c>
      <c r="D509">
        <v>34.4</v>
      </c>
      <c r="E509">
        <v>-1.43</v>
      </c>
    </row>
    <row r="510" spans="1:5" x14ac:dyDescent="0.3">
      <c r="A510" s="27" t="s">
        <v>2894</v>
      </c>
      <c r="B510" s="27" t="s">
        <v>29</v>
      </c>
      <c r="C510">
        <v>0.7</v>
      </c>
      <c r="D510">
        <v>0.69</v>
      </c>
      <c r="E510">
        <v>-1.43</v>
      </c>
    </row>
    <row r="511" spans="1:5" x14ac:dyDescent="0.3">
      <c r="A511" s="27" t="s">
        <v>2895</v>
      </c>
      <c r="B511" s="27" t="s">
        <v>328</v>
      </c>
      <c r="C511">
        <v>1805.6</v>
      </c>
      <c r="D511">
        <v>1780</v>
      </c>
      <c r="E511">
        <v>-1.42</v>
      </c>
    </row>
    <row r="512" spans="1:5" x14ac:dyDescent="0.3">
      <c r="A512" s="27" t="s">
        <v>2896</v>
      </c>
      <c r="B512" s="27" t="s">
        <v>35</v>
      </c>
      <c r="C512">
        <v>1.42</v>
      </c>
      <c r="D512">
        <v>1.4</v>
      </c>
      <c r="E512">
        <v>-1.41</v>
      </c>
    </row>
    <row r="513" spans="1:5" x14ac:dyDescent="0.3">
      <c r="A513" s="27" t="s">
        <v>2897</v>
      </c>
      <c r="B513" s="27" t="s">
        <v>29</v>
      </c>
      <c r="C513">
        <v>70.95</v>
      </c>
      <c r="D513">
        <v>69.95</v>
      </c>
      <c r="E513">
        <v>-1.41</v>
      </c>
    </row>
    <row r="514" spans="1:5" x14ac:dyDescent="0.3">
      <c r="A514" s="27" t="s">
        <v>2898</v>
      </c>
      <c r="B514" s="27" t="s">
        <v>33</v>
      </c>
      <c r="C514">
        <v>5.76</v>
      </c>
      <c r="D514">
        <v>5.68</v>
      </c>
      <c r="E514">
        <v>-1.39</v>
      </c>
    </row>
    <row r="515" spans="1:5" x14ac:dyDescent="0.3">
      <c r="A515" s="27" t="s">
        <v>2899</v>
      </c>
      <c r="B515" s="27" t="s">
        <v>11</v>
      </c>
      <c r="C515">
        <v>230</v>
      </c>
      <c r="D515">
        <v>226.8</v>
      </c>
      <c r="E515">
        <v>-1.39</v>
      </c>
    </row>
    <row r="516" spans="1:5" x14ac:dyDescent="0.3">
      <c r="A516" s="27" t="s">
        <v>2900</v>
      </c>
      <c r="B516" s="27" t="s">
        <v>10</v>
      </c>
      <c r="C516">
        <v>281</v>
      </c>
      <c r="D516">
        <v>277.10000000000002</v>
      </c>
      <c r="E516">
        <v>-1.39</v>
      </c>
    </row>
    <row r="517" spans="1:5" x14ac:dyDescent="0.3">
      <c r="A517" s="27" t="s">
        <v>2901</v>
      </c>
      <c r="B517" s="27" t="s">
        <v>33</v>
      </c>
      <c r="C517">
        <v>6.46</v>
      </c>
      <c r="D517">
        <v>6.37</v>
      </c>
      <c r="E517">
        <v>-1.39</v>
      </c>
    </row>
    <row r="518" spans="1:5" x14ac:dyDescent="0.3">
      <c r="A518" s="27" t="s">
        <v>2902</v>
      </c>
      <c r="B518" s="27" t="s">
        <v>11</v>
      </c>
      <c r="C518">
        <v>5.08</v>
      </c>
      <c r="D518">
        <v>5.01</v>
      </c>
      <c r="E518">
        <v>-1.38</v>
      </c>
    </row>
    <row r="519" spans="1:5" x14ac:dyDescent="0.3">
      <c r="A519" s="27" t="s">
        <v>2903</v>
      </c>
      <c r="B519" s="27" t="s">
        <v>33</v>
      </c>
      <c r="C519">
        <v>83.55</v>
      </c>
      <c r="D519">
        <v>82.4</v>
      </c>
      <c r="E519">
        <v>-1.38</v>
      </c>
    </row>
    <row r="520" spans="1:5" x14ac:dyDescent="0.3">
      <c r="A520" s="27" t="s">
        <v>2904</v>
      </c>
      <c r="B520" s="27" t="s">
        <v>29</v>
      </c>
      <c r="C520">
        <v>7.3</v>
      </c>
      <c r="D520">
        <v>7.2</v>
      </c>
      <c r="E520">
        <v>-1.37</v>
      </c>
    </row>
    <row r="521" spans="1:5" x14ac:dyDescent="0.3">
      <c r="A521" s="27" t="s">
        <v>2905</v>
      </c>
      <c r="B521" s="27" t="s">
        <v>10</v>
      </c>
      <c r="C521">
        <v>294</v>
      </c>
      <c r="D521">
        <v>290</v>
      </c>
      <c r="E521">
        <v>-1.36</v>
      </c>
    </row>
    <row r="522" spans="1:5" x14ac:dyDescent="0.3">
      <c r="A522" s="27" t="s">
        <v>2906</v>
      </c>
      <c r="B522" s="27" t="s">
        <v>11</v>
      </c>
      <c r="C522">
        <v>1.47</v>
      </c>
      <c r="D522">
        <v>1.45</v>
      </c>
      <c r="E522">
        <v>-1.36</v>
      </c>
    </row>
    <row r="523" spans="1:5" x14ac:dyDescent="0.3">
      <c r="A523" s="27" t="s">
        <v>2907</v>
      </c>
      <c r="B523" s="27" t="s">
        <v>328</v>
      </c>
      <c r="C523">
        <v>1.47</v>
      </c>
      <c r="D523">
        <v>1.45</v>
      </c>
      <c r="E523">
        <v>-1.36</v>
      </c>
    </row>
    <row r="524" spans="1:5" x14ac:dyDescent="0.3">
      <c r="A524" s="27" t="s">
        <v>2908</v>
      </c>
      <c r="B524" s="27" t="s">
        <v>328</v>
      </c>
      <c r="C524">
        <v>0.74</v>
      </c>
      <c r="D524">
        <v>0.73</v>
      </c>
      <c r="E524">
        <v>-1.35</v>
      </c>
    </row>
    <row r="525" spans="1:5" x14ac:dyDescent="0.3">
      <c r="A525" s="27" t="s">
        <v>2909</v>
      </c>
      <c r="B525" s="27" t="s">
        <v>11</v>
      </c>
      <c r="C525">
        <v>92.65</v>
      </c>
      <c r="D525">
        <v>91.4</v>
      </c>
      <c r="E525">
        <v>-1.35</v>
      </c>
    </row>
    <row r="526" spans="1:5" x14ac:dyDescent="0.3">
      <c r="A526" s="27" t="s">
        <v>2910</v>
      </c>
      <c r="B526" s="27" t="s">
        <v>10</v>
      </c>
      <c r="C526">
        <v>944.8</v>
      </c>
      <c r="D526">
        <v>932</v>
      </c>
      <c r="E526">
        <v>-1.35</v>
      </c>
    </row>
    <row r="527" spans="1:5" x14ac:dyDescent="0.3">
      <c r="A527" s="27" t="s">
        <v>2911</v>
      </c>
      <c r="B527" s="27" t="s">
        <v>10</v>
      </c>
      <c r="C527">
        <v>2554.35</v>
      </c>
      <c r="D527">
        <v>2520.0500000000002</v>
      </c>
      <c r="E527">
        <v>-1.34</v>
      </c>
    </row>
    <row r="528" spans="1:5" x14ac:dyDescent="0.3">
      <c r="A528" s="27" t="s">
        <v>2912</v>
      </c>
      <c r="B528" s="27" t="s">
        <v>33</v>
      </c>
      <c r="C528">
        <v>5.25</v>
      </c>
      <c r="D528">
        <v>5.18</v>
      </c>
      <c r="E528">
        <v>-1.33</v>
      </c>
    </row>
    <row r="529" spans="1:5" x14ac:dyDescent="0.3">
      <c r="A529" s="27" t="s">
        <v>2913</v>
      </c>
      <c r="B529" s="27" t="s">
        <v>11</v>
      </c>
      <c r="C529">
        <v>7.54</v>
      </c>
      <c r="D529">
        <v>7.44</v>
      </c>
      <c r="E529">
        <v>-1.33</v>
      </c>
    </row>
    <row r="530" spans="1:5" x14ac:dyDescent="0.3">
      <c r="A530" s="27" t="s">
        <v>2914</v>
      </c>
      <c r="B530" s="27" t="s">
        <v>29</v>
      </c>
      <c r="C530">
        <v>5.26</v>
      </c>
      <c r="D530">
        <v>5.19</v>
      </c>
      <c r="E530">
        <v>-1.33</v>
      </c>
    </row>
    <row r="531" spans="1:5" x14ac:dyDescent="0.3">
      <c r="A531" s="27" t="s">
        <v>2915</v>
      </c>
      <c r="B531" s="27" t="s">
        <v>11</v>
      </c>
      <c r="C531">
        <v>42.05</v>
      </c>
      <c r="D531">
        <v>41.5</v>
      </c>
      <c r="E531">
        <v>-1.31</v>
      </c>
    </row>
    <row r="532" spans="1:5" x14ac:dyDescent="0.3">
      <c r="A532" s="27" t="s">
        <v>2916</v>
      </c>
      <c r="B532" s="27" t="s">
        <v>33</v>
      </c>
      <c r="C532">
        <v>30.8</v>
      </c>
      <c r="D532">
        <v>30.4</v>
      </c>
      <c r="E532">
        <v>-1.3</v>
      </c>
    </row>
    <row r="533" spans="1:5" x14ac:dyDescent="0.3">
      <c r="A533" s="27" t="s">
        <v>2917</v>
      </c>
      <c r="B533" s="27" t="s">
        <v>328</v>
      </c>
      <c r="C533">
        <v>1.54</v>
      </c>
      <c r="D533">
        <v>1.52</v>
      </c>
      <c r="E533">
        <v>-1.3</v>
      </c>
    </row>
    <row r="534" spans="1:5" x14ac:dyDescent="0.3">
      <c r="A534" s="27" t="s">
        <v>2918</v>
      </c>
      <c r="B534" s="27" t="s">
        <v>33</v>
      </c>
      <c r="C534">
        <v>42.25</v>
      </c>
      <c r="D534">
        <v>41.7</v>
      </c>
      <c r="E534">
        <v>-1.3</v>
      </c>
    </row>
    <row r="535" spans="1:5" x14ac:dyDescent="0.3">
      <c r="A535" s="27" t="s">
        <v>2919</v>
      </c>
      <c r="B535" s="27" t="s">
        <v>10</v>
      </c>
      <c r="C535">
        <v>230.1</v>
      </c>
      <c r="D535">
        <v>227.1</v>
      </c>
      <c r="E535">
        <v>-1.3</v>
      </c>
    </row>
    <row r="536" spans="1:5" x14ac:dyDescent="0.3">
      <c r="A536" s="27" t="s">
        <v>2920</v>
      </c>
      <c r="B536" s="27" t="s">
        <v>11</v>
      </c>
      <c r="C536">
        <v>462.95</v>
      </c>
      <c r="D536">
        <v>457</v>
      </c>
      <c r="E536">
        <v>-1.29</v>
      </c>
    </row>
    <row r="537" spans="1:5" x14ac:dyDescent="0.3">
      <c r="A537" s="27" t="s">
        <v>2921</v>
      </c>
      <c r="B537" s="27" t="s">
        <v>33</v>
      </c>
      <c r="C537">
        <v>6.97</v>
      </c>
      <c r="D537">
        <v>6.88</v>
      </c>
      <c r="E537">
        <v>-1.29</v>
      </c>
    </row>
    <row r="538" spans="1:5" x14ac:dyDescent="0.3">
      <c r="A538" s="27" t="s">
        <v>2922</v>
      </c>
      <c r="B538" s="27" t="s">
        <v>11</v>
      </c>
      <c r="C538">
        <v>3.09</v>
      </c>
      <c r="D538">
        <v>3.05</v>
      </c>
      <c r="E538">
        <v>-1.29</v>
      </c>
    </row>
    <row r="539" spans="1:5" x14ac:dyDescent="0.3">
      <c r="A539" s="27" t="s">
        <v>2923</v>
      </c>
      <c r="B539" s="27" t="s">
        <v>33</v>
      </c>
      <c r="C539">
        <v>3.88</v>
      </c>
      <c r="D539">
        <v>3.83</v>
      </c>
      <c r="E539">
        <v>-1.29</v>
      </c>
    </row>
    <row r="540" spans="1:5" x14ac:dyDescent="0.3">
      <c r="A540" s="27" t="s">
        <v>2924</v>
      </c>
      <c r="B540" s="27" t="s">
        <v>11</v>
      </c>
      <c r="C540">
        <v>19.45</v>
      </c>
      <c r="D540">
        <v>19.2</v>
      </c>
      <c r="E540">
        <v>-1.29</v>
      </c>
    </row>
    <row r="541" spans="1:5" x14ac:dyDescent="0.3">
      <c r="A541" s="27" t="s">
        <v>2925</v>
      </c>
      <c r="B541" s="27" t="s">
        <v>10</v>
      </c>
      <c r="C541">
        <v>27.4</v>
      </c>
      <c r="D541">
        <v>27.05</v>
      </c>
      <c r="E541">
        <v>-1.28</v>
      </c>
    </row>
    <row r="542" spans="1:5" x14ac:dyDescent="0.3">
      <c r="A542" s="27" t="s">
        <v>2926</v>
      </c>
      <c r="B542" s="27" t="s">
        <v>11</v>
      </c>
      <c r="C542">
        <v>6.24</v>
      </c>
      <c r="D542">
        <v>6.16</v>
      </c>
      <c r="E542">
        <v>-1.28</v>
      </c>
    </row>
    <row r="543" spans="1:5" x14ac:dyDescent="0.3">
      <c r="A543" s="27" t="s">
        <v>2927</v>
      </c>
      <c r="B543" s="27" t="s">
        <v>33</v>
      </c>
      <c r="C543">
        <v>46.75</v>
      </c>
      <c r="D543">
        <v>46.15</v>
      </c>
      <c r="E543">
        <v>-1.28</v>
      </c>
    </row>
    <row r="544" spans="1:5" x14ac:dyDescent="0.3">
      <c r="A544" s="27" t="s">
        <v>2928</v>
      </c>
      <c r="B544" s="27" t="s">
        <v>33</v>
      </c>
      <c r="C544">
        <v>42.9</v>
      </c>
      <c r="D544">
        <v>42.35</v>
      </c>
      <c r="E544">
        <v>-1.28</v>
      </c>
    </row>
    <row r="545" spans="1:5" x14ac:dyDescent="0.3">
      <c r="A545" s="27" t="s">
        <v>2929</v>
      </c>
      <c r="B545" s="27" t="s">
        <v>10</v>
      </c>
      <c r="C545">
        <v>2452.9</v>
      </c>
      <c r="D545">
        <v>2421.75</v>
      </c>
      <c r="E545">
        <v>-1.27</v>
      </c>
    </row>
    <row r="546" spans="1:5" x14ac:dyDescent="0.3">
      <c r="A546" s="27" t="s">
        <v>2930</v>
      </c>
      <c r="B546" s="27" t="s">
        <v>33</v>
      </c>
      <c r="C546">
        <v>63.8</v>
      </c>
      <c r="D546">
        <v>63</v>
      </c>
      <c r="E546">
        <v>-1.25</v>
      </c>
    </row>
    <row r="547" spans="1:5" x14ac:dyDescent="0.3">
      <c r="A547" s="27" t="s">
        <v>2931</v>
      </c>
      <c r="B547" s="27" t="s">
        <v>33</v>
      </c>
      <c r="C547">
        <v>20</v>
      </c>
      <c r="D547">
        <v>19.75</v>
      </c>
      <c r="E547">
        <v>-1.25</v>
      </c>
    </row>
    <row r="548" spans="1:5" x14ac:dyDescent="0.3">
      <c r="A548" s="27" t="s">
        <v>2932</v>
      </c>
      <c r="B548" s="27" t="s">
        <v>11</v>
      </c>
      <c r="C548">
        <v>71.900000000000006</v>
      </c>
      <c r="D548">
        <v>71</v>
      </c>
      <c r="E548">
        <v>-1.25</v>
      </c>
    </row>
    <row r="549" spans="1:5" x14ac:dyDescent="0.3">
      <c r="A549" s="27" t="s">
        <v>2933</v>
      </c>
      <c r="B549" s="27" t="s">
        <v>33</v>
      </c>
      <c r="C549">
        <v>16.149999999999999</v>
      </c>
      <c r="D549">
        <v>15.95</v>
      </c>
      <c r="E549">
        <v>-1.24</v>
      </c>
    </row>
    <row r="550" spans="1:5" x14ac:dyDescent="0.3">
      <c r="A550" s="27" t="s">
        <v>2934</v>
      </c>
      <c r="B550" s="27" t="s">
        <v>11</v>
      </c>
      <c r="C550">
        <v>154.6</v>
      </c>
      <c r="D550">
        <v>152.69999999999999</v>
      </c>
      <c r="E550">
        <v>-1.23</v>
      </c>
    </row>
    <row r="551" spans="1:5" x14ac:dyDescent="0.3">
      <c r="A551" s="27" t="s">
        <v>2935</v>
      </c>
      <c r="B551" s="27" t="s">
        <v>328</v>
      </c>
      <c r="C551">
        <v>11.34</v>
      </c>
      <c r="D551">
        <v>11.2</v>
      </c>
      <c r="E551">
        <v>-1.23</v>
      </c>
    </row>
    <row r="552" spans="1:5" x14ac:dyDescent="0.3">
      <c r="A552" s="27" t="s">
        <v>2936</v>
      </c>
      <c r="B552" s="27" t="s">
        <v>10</v>
      </c>
      <c r="C552">
        <v>981.8</v>
      </c>
      <c r="D552">
        <v>970.05</v>
      </c>
      <c r="E552">
        <v>-1.2</v>
      </c>
    </row>
    <row r="553" spans="1:5" x14ac:dyDescent="0.3">
      <c r="A553" s="27" t="s">
        <v>2937</v>
      </c>
      <c r="B553" s="27" t="s">
        <v>10</v>
      </c>
      <c r="C553">
        <v>1118.25</v>
      </c>
      <c r="D553">
        <v>1104.8499999999999</v>
      </c>
      <c r="E553">
        <v>-1.2</v>
      </c>
    </row>
    <row r="554" spans="1:5" x14ac:dyDescent="0.3">
      <c r="A554" s="27" t="s">
        <v>2938</v>
      </c>
      <c r="B554" s="27" t="s">
        <v>11</v>
      </c>
      <c r="C554">
        <v>200</v>
      </c>
      <c r="D554">
        <v>197.6</v>
      </c>
      <c r="E554">
        <v>-1.2</v>
      </c>
    </row>
    <row r="555" spans="1:5" x14ac:dyDescent="0.3">
      <c r="A555" s="27" t="s">
        <v>2939</v>
      </c>
      <c r="B555" s="27" t="s">
        <v>10</v>
      </c>
      <c r="C555">
        <v>2876.85</v>
      </c>
      <c r="D555">
        <v>2842.35</v>
      </c>
      <c r="E555">
        <v>-1.2</v>
      </c>
    </row>
    <row r="556" spans="1:5" x14ac:dyDescent="0.3">
      <c r="A556" s="27" t="s">
        <v>2940</v>
      </c>
      <c r="B556" s="27" t="s">
        <v>11</v>
      </c>
      <c r="C556">
        <v>398.5</v>
      </c>
      <c r="D556">
        <v>393.75</v>
      </c>
      <c r="E556">
        <v>-1.19</v>
      </c>
    </row>
    <row r="557" spans="1:5" x14ac:dyDescent="0.3">
      <c r="A557" s="27" t="s">
        <v>2941</v>
      </c>
      <c r="B557" s="27" t="s">
        <v>328</v>
      </c>
      <c r="C557">
        <v>75.900000000000006</v>
      </c>
      <c r="D557">
        <v>75</v>
      </c>
      <c r="E557">
        <v>-1.19</v>
      </c>
    </row>
    <row r="558" spans="1:5" x14ac:dyDescent="0.3">
      <c r="A558" s="27" t="s">
        <v>2942</v>
      </c>
      <c r="B558" s="27" t="s">
        <v>11</v>
      </c>
      <c r="C558">
        <v>16.75</v>
      </c>
      <c r="D558">
        <v>16.55</v>
      </c>
      <c r="E558">
        <v>-1.19</v>
      </c>
    </row>
    <row r="559" spans="1:5" x14ac:dyDescent="0.3">
      <c r="A559" s="27" t="s">
        <v>2943</v>
      </c>
      <c r="B559" s="27" t="s">
        <v>328</v>
      </c>
      <c r="C559">
        <v>5.87</v>
      </c>
      <c r="D559">
        <v>5.8</v>
      </c>
      <c r="E559">
        <v>-1.19</v>
      </c>
    </row>
    <row r="560" spans="1:5" x14ac:dyDescent="0.3">
      <c r="A560" s="27" t="s">
        <v>2944</v>
      </c>
      <c r="B560" s="27" t="s">
        <v>11</v>
      </c>
      <c r="C560">
        <v>47.6</v>
      </c>
      <c r="D560">
        <v>47.05</v>
      </c>
      <c r="E560">
        <v>-1.1599999999999999</v>
      </c>
    </row>
    <row r="561" spans="1:5" x14ac:dyDescent="0.3">
      <c r="A561" s="27" t="s">
        <v>2945</v>
      </c>
      <c r="B561" s="27" t="s">
        <v>328</v>
      </c>
      <c r="C561">
        <v>25.8</v>
      </c>
      <c r="D561">
        <v>25.5</v>
      </c>
      <c r="E561">
        <v>-1.1599999999999999</v>
      </c>
    </row>
    <row r="562" spans="1:5" x14ac:dyDescent="0.3">
      <c r="A562" s="27" t="s">
        <v>2946</v>
      </c>
      <c r="B562" s="27" t="s">
        <v>33</v>
      </c>
      <c r="C562">
        <v>152.35</v>
      </c>
      <c r="D562">
        <v>150.6</v>
      </c>
      <c r="E562">
        <v>-1.1499999999999999</v>
      </c>
    </row>
    <row r="563" spans="1:5" x14ac:dyDescent="0.3">
      <c r="A563" s="27" t="s">
        <v>2947</v>
      </c>
      <c r="B563" s="27" t="s">
        <v>10</v>
      </c>
      <c r="C563">
        <v>557.9</v>
      </c>
      <c r="D563">
        <v>551.5</v>
      </c>
      <c r="E563">
        <v>-1.1499999999999999</v>
      </c>
    </row>
    <row r="564" spans="1:5" x14ac:dyDescent="0.3">
      <c r="A564" s="27" t="s">
        <v>2948</v>
      </c>
      <c r="B564" s="27" t="s">
        <v>10</v>
      </c>
      <c r="C564">
        <v>139.69999999999999</v>
      </c>
      <c r="D564">
        <v>138.1</v>
      </c>
      <c r="E564">
        <v>-1.1499999999999999</v>
      </c>
    </row>
    <row r="565" spans="1:5" x14ac:dyDescent="0.3">
      <c r="A565" s="27" t="s">
        <v>2949</v>
      </c>
      <c r="B565" s="27" t="s">
        <v>29</v>
      </c>
      <c r="C565">
        <v>0.88</v>
      </c>
      <c r="D565">
        <v>0.87</v>
      </c>
      <c r="E565">
        <v>-1.1399999999999999</v>
      </c>
    </row>
    <row r="566" spans="1:5" x14ac:dyDescent="0.3">
      <c r="A566" s="27" t="s">
        <v>2950</v>
      </c>
      <c r="B566" s="27" t="s">
        <v>11</v>
      </c>
      <c r="C566">
        <v>26.25</v>
      </c>
      <c r="D566">
        <v>25.95</v>
      </c>
      <c r="E566">
        <v>-1.1399999999999999</v>
      </c>
    </row>
    <row r="567" spans="1:5" x14ac:dyDescent="0.3">
      <c r="A567" s="27" t="s">
        <v>2951</v>
      </c>
      <c r="B567" s="27" t="s">
        <v>33</v>
      </c>
      <c r="C567">
        <v>13.14</v>
      </c>
      <c r="D567">
        <v>12.99</v>
      </c>
      <c r="E567">
        <v>-1.1399999999999999</v>
      </c>
    </row>
    <row r="568" spans="1:5" x14ac:dyDescent="0.3">
      <c r="A568" s="27" t="s">
        <v>2952</v>
      </c>
      <c r="B568" s="27" t="s">
        <v>328</v>
      </c>
      <c r="C568">
        <v>14.17</v>
      </c>
      <c r="D568">
        <v>14.01</v>
      </c>
      <c r="E568">
        <v>-1.1299999999999999</v>
      </c>
    </row>
    <row r="569" spans="1:5" x14ac:dyDescent="0.3">
      <c r="A569" s="27" t="s">
        <v>2953</v>
      </c>
      <c r="B569" s="27" t="s">
        <v>33</v>
      </c>
      <c r="C569">
        <v>10.6</v>
      </c>
      <c r="D569">
        <v>10.48</v>
      </c>
      <c r="E569">
        <v>-1.1299999999999999</v>
      </c>
    </row>
    <row r="570" spans="1:5" x14ac:dyDescent="0.3">
      <c r="A570" s="27" t="s">
        <v>2954</v>
      </c>
      <c r="B570" s="27" t="s">
        <v>11</v>
      </c>
      <c r="C570">
        <v>79.55</v>
      </c>
      <c r="D570">
        <v>78.650000000000006</v>
      </c>
      <c r="E570">
        <v>-1.1299999999999999</v>
      </c>
    </row>
    <row r="571" spans="1:5" x14ac:dyDescent="0.3">
      <c r="A571" s="27" t="s">
        <v>2955</v>
      </c>
      <c r="B571" s="27" t="s">
        <v>33</v>
      </c>
      <c r="C571">
        <v>8.06</v>
      </c>
      <c r="D571">
        <v>7.97</v>
      </c>
      <c r="E571">
        <v>-1.1200000000000001</v>
      </c>
    </row>
    <row r="572" spans="1:5" x14ac:dyDescent="0.3">
      <c r="A572" s="27" t="s">
        <v>2956</v>
      </c>
      <c r="B572" s="27" t="s">
        <v>33</v>
      </c>
      <c r="C572">
        <v>0.89</v>
      </c>
      <c r="D572">
        <v>0.88</v>
      </c>
      <c r="E572">
        <v>-1.1200000000000001</v>
      </c>
    </row>
    <row r="573" spans="1:5" x14ac:dyDescent="0.3">
      <c r="A573" s="27" t="s">
        <v>2957</v>
      </c>
      <c r="B573" s="27" t="s">
        <v>33</v>
      </c>
      <c r="C573">
        <v>134</v>
      </c>
      <c r="D573">
        <v>132.5</v>
      </c>
      <c r="E573">
        <v>-1.1200000000000001</v>
      </c>
    </row>
    <row r="574" spans="1:5" x14ac:dyDescent="0.3">
      <c r="A574" s="27" t="s">
        <v>2958</v>
      </c>
      <c r="B574" s="27" t="s">
        <v>10</v>
      </c>
      <c r="C574">
        <v>285.2</v>
      </c>
      <c r="D574">
        <v>282</v>
      </c>
      <c r="E574">
        <v>-1.1200000000000001</v>
      </c>
    </row>
    <row r="575" spans="1:5" x14ac:dyDescent="0.3">
      <c r="A575" s="27" t="s">
        <v>2959</v>
      </c>
      <c r="B575" s="27" t="s">
        <v>33</v>
      </c>
      <c r="C575">
        <v>40.450000000000003</v>
      </c>
      <c r="D575">
        <v>40</v>
      </c>
      <c r="E575">
        <v>-1.1100000000000001</v>
      </c>
    </row>
    <row r="576" spans="1:5" x14ac:dyDescent="0.3">
      <c r="A576" s="27" t="s">
        <v>2960</v>
      </c>
      <c r="B576" s="27" t="s">
        <v>328</v>
      </c>
      <c r="C576">
        <v>4.5199999999999996</v>
      </c>
      <c r="D576">
        <v>4.47</v>
      </c>
      <c r="E576">
        <v>-1.1100000000000001</v>
      </c>
    </row>
    <row r="577" spans="1:5" x14ac:dyDescent="0.3">
      <c r="A577" s="27" t="s">
        <v>2961</v>
      </c>
      <c r="B577" s="27" t="s">
        <v>10</v>
      </c>
      <c r="C577">
        <v>784.25</v>
      </c>
      <c r="D577">
        <v>775.55</v>
      </c>
      <c r="E577">
        <v>-1.1100000000000001</v>
      </c>
    </row>
    <row r="578" spans="1:5" x14ac:dyDescent="0.3">
      <c r="A578" s="27" t="s">
        <v>2962</v>
      </c>
      <c r="B578" s="27" t="s">
        <v>328</v>
      </c>
      <c r="C578">
        <v>0.91</v>
      </c>
      <c r="D578">
        <v>0.9</v>
      </c>
      <c r="E578">
        <v>-1.1000000000000001</v>
      </c>
    </row>
    <row r="579" spans="1:5" x14ac:dyDescent="0.3">
      <c r="A579" s="27" t="s">
        <v>2963</v>
      </c>
      <c r="B579" s="27" t="s">
        <v>33</v>
      </c>
      <c r="C579">
        <v>0.91</v>
      </c>
      <c r="D579">
        <v>0.9</v>
      </c>
      <c r="E579">
        <v>-1.1000000000000001</v>
      </c>
    </row>
    <row r="580" spans="1:5" x14ac:dyDescent="0.3">
      <c r="A580" s="27" t="s">
        <v>2964</v>
      </c>
      <c r="B580" s="27" t="s">
        <v>11</v>
      </c>
      <c r="C580">
        <v>31.7</v>
      </c>
      <c r="D580">
        <v>31.35</v>
      </c>
      <c r="E580">
        <v>-1.1000000000000001</v>
      </c>
    </row>
    <row r="581" spans="1:5" x14ac:dyDescent="0.3">
      <c r="A581" s="27" t="s">
        <v>2965</v>
      </c>
      <c r="B581" s="27" t="s">
        <v>11</v>
      </c>
      <c r="C581">
        <v>9.11</v>
      </c>
      <c r="D581">
        <v>9.01</v>
      </c>
      <c r="E581">
        <v>-1.1000000000000001</v>
      </c>
    </row>
    <row r="582" spans="1:5" x14ac:dyDescent="0.3">
      <c r="A582" s="27" t="s">
        <v>2966</v>
      </c>
      <c r="B582" s="27" t="s">
        <v>11</v>
      </c>
      <c r="C582">
        <v>27.8</v>
      </c>
      <c r="D582">
        <v>27.5</v>
      </c>
      <c r="E582">
        <v>-1.08</v>
      </c>
    </row>
    <row r="583" spans="1:5" x14ac:dyDescent="0.3">
      <c r="A583" s="27" t="s">
        <v>2967</v>
      </c>
      <c r="B583" s="27" t="s">
        <v>11</v>
      </c>
      <c r="C583">
        <v>185.3</v>
      </c>
      <c r="D583">
        <v>183.3</v>
      </c>
      <c r="E583">
        <v>-1.08</v>
      </c>
    </row>
    <row r="584" spans="1:5" x14ac:dyDescent="0.3">
      <c r="A584" s="27" t="s">
        <v>2968</v>
      </c>
      <c r="B584" s="27" t="s">
        <v>328</v>
      </c>
      <c r="C584">
        <v>23.05</v>
      </c>
      <c r="D584">
        <v>22.8</v>
      </c>
      <c r="E584">
        <v>-1.08</v>
      </c>
    </row>
    <row r="585" spans="1:5" x14ac:dyDescent="0.3">
      <c r="A585" s="27" t="s">
        <v>2969</v>
      </c>
      <c r="B585" s="27" t="s">
        <v>33</v>
      </c>
      <c r="C585">
        <v>32.6</v>
      </c>
      <c r="D585">
        <v>32.25</v>
      </c>
      <c r="E585">
        <v>-1.07</v>
      </c>
    </row>
    <row r="586" spans="1:5" x14ac:dyDescent="0.3">
      <c r="A586" s="27" t="s">
        <v>2970</v>
      </c>
      <c r="B586" s="27" t="s">
        <v>10</v>
      </c>
      <c r="C586">
        <v>289.95</v>
      </c>
      <c r="D586">
        <v>286.85000000000002</v>
      </c>
      <c r="E586">
        <v>-1.07</v>
      </c>
    </row>
    <row r="587" spans="1:5" x14ac:dyDescent="0.3">
      <c r="A587" s="27" t="s">
        <v>2971</v>
      </c>
      <c r="B587" s="27" t="s">
        <v>33</v>
      </c>
      <c r="C587">
        <v>80</v>
      </c>
      <c r="D587">
        <v>79.150000000000006</v>
      </c>
      <c r="E587">
        <v>-1.06</v>
      </c>
    </row>
    <row r="588" spans="1:5" x14ac:dyDescent="0.3">
      <c r="A588" s="27" t="s">
        <v>2972</v>
      </c>
      <c r="B588" s="27" t="s">
        <v>11</v>
      </c>
      <c r="C588">
        <v>37.75</v>
      </c>
      <c r="D588">
        <v>37.35</v>
      </c>
      <c r="E588">
        <v>-1.06</v>
      </c>
    </row>
    <row r="589" spans="1:5" x14ac:dyDescent="0.3">
      <c r="A589" s="27" t="s">
        <v>2973</v>
      </c>
      <c r="B589" s="27" t="s">
        <v>328</v>
      </c>
      <c r="C589">
        <v>4.71</v>
      </c>
      <c r="D589">
        <v>4.66</v>
      </c>
      <c r="E589">
        <v>-1.06</v>
      </c>
    </row>
    <row r="590" spans="1:5" x14ac:dyDescent="0.3">
      <c r="A590" s="27" t="s">
        <v>2974</v>
      </c>
      <c r="B590" s="27" t="s">
        <v>22</v>
      </c>
      <c r="C590">
        <v>47</v>
      </c>
      <c r="D590">
        <v>46.5</v>
      </c>
      <c r="E590">
        <v>-1.06</v>
      </c>
    </row>
    <row r="591" spans="1:5" x14ac:dyDescent="0.3">
      <c r="A591" s="27" t="s">
        <v>2975</v>
      </c>
      <c r="B591" s="27" t="s">
        <v>11</v>
      </c>
      <c r="C591">
        <v>33.4</v>
      </c>
      <c r="D591">
        <v>33.049999999999997</v>
      </c>
      <c r="E591">
        <v>-1.05</v>
      </c>
    </row>
    <row r="592" spans="1:5" x14ac:dyDescent="0.3">
      <c r="A592" s="27" t="s">
        <v>2976</v>
      </c>
      <c r="B592" s="27" t="s">
        <v>10</v>
      </c>
      <c r="C592">
        <v>6511.65</v>
      </c>
      <c r="D592">
        <v>6443.65</v>
      </c>
      <c r="E592">
        <v>-1.04</v>
      </c>
    </row>
    <row r="593" spans="1:5" x14ac:dyDescent="0.3">
      <c r="A593" s="27" t="s">
        <v>2977</v>
      </c>
      <c r="B593" s="27" t="s">
        <v>10</v>
      </c>
      <c r="C593">
        <v>2741.85</v>
      </c>
      <c r="D593">
        <v>2713.4</v>
      </c>
      <c r="E593">
        <v>-1.04</v>
      </c>
    </row>
    <row r="594" spans="1:5" x14ac:dyDescent="0.3">
      <c r="A594" s="27" t="s">
        <v>2978</v>
      </c>
      <c r="B594" s="27" t="s">
        <v>11</v>
      </c>
      <c r="C594">
        <v>76.8</v>
      </c>
      <c r="D594">
        <v>76</v>
      </c>
      <c r="E594">
        <v>-1.04</v>
      </c>
    </row>
    <row r="595" spans="1:5" x14ac:dyDescent="0.3">
      <c r="A595" s="27" t="s">
        <v>2979</v>
      </c>
      <c r="B595" s="27" t="s">
        <v>11</v>
      </c>
      <c r="C595">
        <v>6.77</v>
      </c>
      <c r="D595">
        <v>6.7</v>
      </c>
      <c r="E595">
        <v>-1.03</v>
      </c>
    </row>
    <row r="596" spans="1:5" x14ac:dyDescent="0.3">
      <c r="A596" s="27" t="s">
        <v>2980</v>
      </c>
      <c r="B596" s="27" t="s">
        <v>29</v>
      </c>
      <c r="C596">
        <v>77.349999999999994</v>
      </c>
      <c r="D596">
        <v>76.55</v>
      </c>
      <c r="E596">
        <v>-1.03</v>
      </c>
    </row>
    <row r="597" spans="1:5" x14ac:dyDescent="0.3">
      <c r="A597" s="27" t="s">
        <v>2981</v>
      </c>
      <c r="B597" s="27" t="s">
        <v>11</v>
      </c>
      <c r="C597">
        <v>1563</v>
      </c>
      <c r="D597">
        <v>1547</v>
      </c>
      <c r="E597">
        <v>-1.02</v>
      </c>
    </row>
    <row r="598" spans="1:5" x14ac:dyDescent="0.3">
      <c r="A598" s="27" t="s">
        <v>2982</v>
      </c>
      <c r="B598" s="27" t="s">
        <v>11</v>
      </c>
      <c r="C598">
        <v>49.15</v>
      </c>
      <c r="D598">
        <v>48.65</v>
      </c>
      <c r="E598">
        <v>-1.02</v>
      </c>
    </row>
    <row r="599" spans="1:5" x14ac:dyDescent="0.3">
      <c r="A599" s="27" t="s">
        <v>2983</v>
      </c>
      <c r="B599" s="27" t="s">
        <v>29</v>
      </c>
      <c r="C599">
        <v>64.650000000000006</v>
      </c>
      <c r="D599">
        <v>64</v>
      </c>
      <c r="E599">
        <v>-1.01</v>
      </c>
    </row>
    <row r="600" spans="1:5" x14ac:dyDescent="0.3">
      <c r="A600" s="27" t="s">
        <v>2984</v>
      </c>
      <c r="B600" s="27" t="s">
        <v>33</v>
      </c>
      <c r="C600">
        <v>241.45</v>
      </c>
      <c r="D600">
        <v>239</v>
      </c>
      <c r="E600">
        <v>-1.01</v>
      </c>
    </row>
    <row r="601" spans="1:5" x14ac:dyDescent="0.3">
      <c r="A601" s="27" t="s">
        <v>2985</v>
      </c>
      <c r="B601" s="27" t="s">
        <v>328</v>
      </c>
      <c r="C601">
        <v>59.6</v>
      </c>
      <c r="D601">
        <v>59</v>
      </c>
      <c r="E601">
        <v>-1.01</v>
      </c>
    </row>
    <row r="602" spans="1:5" x14ac:dyDescent="0.3">
      <c r="A602" s="27" t="s">
        <v>2986</v>
      </c>
      <c r="B602" s="27" t="s">
        <v>29</v>
      </c>
      <c r="C602">
        <v>1</v>
      </c>
      <c r="D602">
        <v>0.99</v>
      </c>
      <c r="E602">
        <v>-1</v>
      </c>
    </row>
    <row r="603" spans="1:5" x14ac:dyDescent="0.3">
      <c r="A603" s="27" t="s">
        <v>2987</v>
      </c>
      <c r="B603" s="27" t="s">
        <v>11</v>
      </c>
      <c r="C603">
        <v>45.45</v>
      </c>
      <c r="D603">
        <v>45</v>
      </c>
      <c r="E603">
        <v>-0.99</v>
      </c>
    </row>
    <row r="604" spans="1:5" x14ac:dyDescent="0.3">
      <c r="A604" s="27" t="s">
        <v>2988</v>
      </c>
      <c r="B604" s="27" t="s">
        <v>328</v>
      </c>
      <c r="C604">
        <v>6.06</v>
      </c>
      <c r="D604">
        <v>6</v>
      </c>
      <c r="E604">
        <v>-0.99</v>
      </c>
    </row>
    <row r="605" spans="1:5" x14ac:dyDescent="0.3">
      <c r="A605" s="27" t="s">
        <v>2989</v>
      </c>
      <c r="B605" s="27" t="s">
        <v>33</v>
      </c>
      <c r="C605">
        <v>9247.7999999999993</v>
      </c>
      <c r="D605">
        <v>9156</v>
      </c>
      <c r="E605">
        <v>-0.99</v>
      </c>
    </row>
    <row r="606" spans="1:5" x14ac:dyDescent="0.3">
      <c r="A606" s="27" t="s">
        <v>2990</v>
      </c>
      <c r="B606" s="27" t="s">
        <v>10</v>
      </c>
      <c r="C606">
        <v>729.45</v>
      </c>
      <c r="D606">
        <v>722.2</v>
      </c>
      <c r="E606">
        <v>-0.99</v>
      </c>
    </row>
    <row r="607" spans="1:5" x14ac:dyDescent="0.3">
      <c r="A607" s="27" t="s">
        <v>2991</v>
      </c>
      <c r="B607" s="27" t="s">
        <v>11</v>
      </c>
      <c r="C607">
        <v>14.16</v>
      </c>
      <c r="D607">
        <v>14.02</v>
      </c>
      <c r="E607">
        <v>-0.99</v>
      </c>
    </row>
    <row r="608" spans="1:5" x14ac:dyDescent="0.3">
      <c r="A608" s="27" t="s">
        <v>2992</v>
      </c>
      <c r="B608" s="27" t="s">
        <v>29</v>
      </c>
      <c r="C608">
        <v>40.65</v>
      </c>
      <c r="D608">
        <v>40.25</v>
      </c>
      <c r="E608">
        <v>-0.98</v>
      </c>
    </row>
    <row r="609" spans="1:5" x14ac:dyDescent="0.3">
      <c r="A609" s="27" t="s">
        <v>2993</v>
      </c>
      <c r="B609" s="27" t="s">
        <v>33</v>
      </c>
      <c r="C609">
        <v>462.65</v>
      </c>
      <c r="D609">
        <v>458.1</v>
      </c>
      <c r="E609">
        <v>-0.98</v>
      </c>
    </row>
    <row r="610" spans="1:5" x14ac:dyDescent="0.3">
      <c r="A610" s="27" t="s">
        <v>2994</v>
      </c>
      <c r="B610" s="27" t="s">
        <v>10</v>
      </c>
      <c r="C610">
        <v>679</v>
      </c>
      <c r="D610">
        <v>672.5</v>
      </c>
      <c r="E610">
        <v>-0.96</v>
      </c>
    </row>
    <row r="611" spans="1:5" x14ac:dyDescent="0.3">
      <c r="A611" s="27" t="s">
        <v>2995</v>
      </c>
      <c r="B611" s="27" t="s">
        <v>33</v>
      </c>
      <c r="C611">
        <v>52.3</v>
      </c>
      <c r="D611">
        <v>51.8</v>
      </c>
      <c r="E611">
        <v>-0.96</v>
      </c>
    </row>
    <row r="612" spans="1:5" x14ac:dyDescent="0.3">
      <c r="A612" s="27" t="s">
        <v>2996</v>
      </c>
      <c r="B612" s="27" t="s">
        <v>328</v>
      </c>
      <c r="C612">
        <v>57.1</v>
      </c>
      <c r="D612">
        <v>56.55</v>
      </c>
      <c r="E612">
        <v>-0.96</v>
      </c>
    </row>
    <row r="613" spans="1:5" x14ac:dyDescent="0.3">
      <c r="A613" s="27" t="s">
        <v>2997</v>
      </c>
      <c r="B613" s="27" t="s">
        <v>11</v>
      </c>
      <c r="C613">
        <v>297.85000000000002</v>
      </c>
      <c r="D613">
        <v>295</v>
      </c>
      <c r="E613">
        <v>-0.96</v>
      </c>
    </row>
    <row r="614" spans="1:5" x14ac:dyDescent="0.3">
      <c r="A614" s="27" t="s">
        <v>2998</v>
      </c>
      <c r="B614" s="27" t="s">
        <v>11</v>
      </c>
      <c r="C614">
        <v>95</v>
      </c>
      <c r="D614">
        <v>94.1</v>
      </c>
      <c r="E614">
        <v>-0.95</v>
      </c>
    </row>
    <row r="615" spans="1:5" x14ac:dyDescent="0.3">
      <c r="A615" s="27" t="s">
        <v>2999</v>
      </c>
      <c r="B615" s="27" t="s">
        <v>11</v>
      </c>
      <c r="C615">
        <v>2919.4</v>
      </c>
      <c r="D615">
        <v>2892.05</v>
      </c>
      <c r="E615">
        <v>-0.94</v>
      </c>
    </row>
    <row r="616" spans="1:5" x14ac:dyDescent="0.3">
      <c r="A616" s="27" t="s">
        <v>3000</v>
      </c>
      <c r="B616" s="27" t="s">
        <v>33</v>
      </c>
      <c r="C616">
        <v>21.65</v>
      </c>
      <c r="D616">
        <v>21.45</v>
      </c>
      <c r="E616">
        <v>-0.92</v>
      </c>
    </row>
    <row r="617" spans="1:5" x14ac:dyDescent="0.3">
      <c r="A617" s="27" t="s">
        <v>3001</v>
      </c>
      <c r="B617" s="27" t="s">
        <v>11</v>
      </c>
      <c r="C617">
        <v>538.95000000000005</v>
      </c>
      <c r="D617">
        <v>534</v>
      </c>
      <c r="E617">
        <v>-0.92</v>
      </c>
    </row>
    <row r="618" spans="1:5" x14ac:dyDescent="0.3">
      <c r="A618" s="27" t="s">
        <v>3002</v>
      </c>
      <c r="B618" s="27" t="s">
        <v>11</v>
      </c>
      <c r="C618">
        <v>9.94</v>
      </c>
      <c r="D618">
        <v>9.85</v>
      </c>
      <c r="E618">
        <v>-0.91</v>
      </c>
    </row>
    <row r="619" spans="1:5" x14ac:dyDescent="0.3">
      <c r="A619" s="27" t="s">
        <v>3003</v>
      </c>
      <c r="B619" s="27" t="s">
        <v>328</v>
      </c>
      <c r="C619">
        <v>5.55</v>
      </c>
      <c r="D619">
        <v>5.5</v>
      </c>
      <c r="E619">
        <v>-0.9</v>
      </c>
    </row>
    <row r="620" spans="1:5" x14ac:dyDescent="0.3">
      <c r="A620" s="27" t="s">
        <v>3004</v>
      </c>
      <c r="B620" s="27" t="s">
        <v>33</v>
      </c>
      <c r="C620">
        <v>22.1</v>
      </c>
      <c r="D620">
        <v>21.9</v>
      </c>
      <c r="E620">
        <v>-0.9</v>
      </c>
    </row>
    <row r="621" spans="1:5" x14ac:dyDescent="0.3">
      <c r="A621" s="27" t="s">
        <v>3005</v>
      </c>
      <c r="B621" s="27" t="s">
        <v>33</v>
      </c>
      <c r="C621">
        <v>111</v>
      </c>
      <c r="D621">
        <v>110</v>
      </c>
      <c r="E621">
        <v>-0.9</v>
      </c>
    </row>
    <row r="622" spans="1:5" x14ac:dyDescent="0.3">
      <c r="A622" s="27" t="s">
        <v>3006</v>
      </c>
      <c r="B622" s="27" t="s">
        <v>33</v>
      </c>
      <c r="C622">
        <v>34.549999999999997</v>
      </c>
      <c r="D622">
        <v>34.25</v>
      </c>
      <c r="E622">
        <v>-0.87</v>
      </c>
    </row>
    <row r="623" spans="1:5" x14ac:dyDescent="0.3">
      <c r="A623" s="27" t="s">
        <v>3007</v>
      </c>
      <c r="B623" s="27" t="s">
        <v>10</v>
      </c>
      <c r="C623">
        <v>3514.05</v>
      </c>
      <c r="D623">
        <v>3483.95</v>
      </c>
      <c r="E623">
        <v>-0.86</v>
      </c>
    </row>
    <row r="624" spans="1:5" x14ac:dyDescent="0.3">
      <c r="A624" s="27" t="s">
        <v>3008</v>
      </c>
      <c r="B624" s="27" t="s">
        <v>11</v>
      </c>
      <c r="C624">
        <v>23.2</v>
      </c>
      <c r="D624">
        <v>23</v>
      </c>
      <c r="E624">
        <v>-0.86</v>
      </c>
    </row>
    <row r="625" spans="1:5" x14ac:dyDescent="0.3">
      <c r="A625" s="27" t="s">
        <v>3009</v>
      </c>
      <c r="B625" s="27" t="s">
        <v>33</v>
      </c>
      <c r="C625">
        <v>847.2</v>
      </c>
      <c r="D625">
        <v>840</v>
      </c>
      <c r="E625">
        <v>-0.85</v>
      </c>
    </row>
    <row r="626" spans="1:5" x14ac:dyDescent="0.3">
      <c r="A626" s="27" t="s">
        <v>3010</v>
      </c>
      <c r="B626" s="27" t="s">
        <v>33</v>
      </c>
      <c r="C626">
        <v>41.9</v>
      </c>
      <c r="D626">
        <v>41.55</v>
      </c>
      <c r="E626">
        <v>-0.84</v>
      </c>
    </row>
    <row r="627" spans="1:5" x14ac:dyDescent="0.3">
      <c r="A627" s="27" t="s">
        <v>3011</v>
      </c>
      <c r="B627" s="27" t="s">
        <v>10</v>
      </c>
      <c r="C627">
        <v>201.6</v>
      </c>
      <c r="D627">
        <v>199.9</v>
      </c>
      <c r="E627">
        <v>-0.84</v>
      </c>
    </row>
    <row r="628" spans="1:5" x14ac:dyDescent="0.3">
      <c r="A628" s="27" t="s">
        <v>3012</v>
      </c>
      <c r="B628" s="27" t="s">
        <v>10</v>
      </c>
      <c r="C628">
        <v>156.4</v>
      </c>
      <c r="D628">
        <v>155.1</v>
      </c>
      <c r="E628">
        <v>-0.83</v>
      </c>
    </row>
    <row r="629" spans="1:5" x14ac:dyDescent="0.3">
      <c r="A629" s="27" t="s">
        <v>3013</v>
      </c>
      <c r="B629" s="27" t="s">
        <v>33</v>
      </c>
      <c r="C629">
        <v>77.900000000000006</v>
      </c>
      <c r="D629">
        <v>77.25</v>
      </c>
      <c r="E629">
        <v>-0.83</v>
      </c>
    </row>
    <row r="630" spans="1:5" x14ac:dyDescent="0.3">
      <c r="A630" s="27" t="s">
        <v>3014</v>
      </c>
      <c r="B630" s="27" t="s">
        <v>10</v>
      </c>
      <c r="C630">
        <v>102.6</v>
      </c>
      <c r="D630">
        <v>101.75</v>
      </c>
      <c r="E630">
        <v>-0.83</v>
      </c>
    </row>
    <row r="631" spans="1:5" x14ac:dyDescent="0.3">
      <c r="A631" s="27" t="s">
        <v>3015</v>
      </c>
      <c r="B631" s="27" t="s">
        <v>11</v>
      </c>
      <c r="C631">
        <v>213.75</v>
      </c>
      <c r="D631">
        <v>212</v>
      </c>
      <c r="E631">
        <v>-0.82</v>
      </c>
    </row>
    <row r="632" spans="1:5" x14ac:dyDescent="0.3">
      <c r="A632" s="27" t="s">
        <v>3016</v>
      </c>
      <c r="B632" s="27" t="s">
        <v>33</v>
      </c>
      <c r="C632">
        <v>97.7</v>
      </c>
      <c r="D632">
        <v>96.9</v>
      </c>
      <c r="E632">
        <v>-0.82</v>
      </c>
    </row>
    <row r="633" spans="1:5" x14ac:dyDescent="0.3">
      <c r="A633" s="27" t="s">
        <v>3017</v>
      </c>
      <c r="B633" s="27" t="s">
        <v>11</v>
      </c>
      <c r="C633">
        <v>24.45</v>
      </c>
      <c r="D633">
        <v>24.25</v>
      </c>
      <c r="E633">
        <v>-0.82</v>
      </c>
    </row>
    <row r="634" spans="1:5" x14ac:dyDescent="0.3">
      <c r="A634" s="27" t="s">
        <v>3018</v>
      </c>
      <c r="B634" s="27" t="s">
        <v>33</v>
      </c>
      <c r="C634">
        <v>103.05</v>
      </c>
      <c r="D634">
        <v>102.2</v>
      </c>
      <c r="E634">
        <v>-0.82</v>
      </c>
    </row>
    <row r="635" spans="1:5" x14ac:dyDescent="0.3">
      <c r="A635" s="27" t="s">
        <v>3019</v>
      </c>
      <c r="B635" s="27" t="s">
        <v>33</v>
      </c>
      <c r="C635">
        <v>18.350000000000001</v>
      </c>
      <c r="D635">
        <v>18.2</v>
      </c>
      <c r="E635">
        <v>-0.82</v>
      </c>
    </row>
    <row r="636" spans="1:5" x14ac:dyDescent="0.3">
      <c r="A636" s="27" t="s">
        <v>3020</v>
      </c>
      <c r="B636" s="27" t="s">
        <v>11</v>
      </c>
      <c r="C636">
        <v>104.75</v>
      </c>
      <c r="D636">
        <v>103.9</v>
      </c>
      <c r="E636">
        <v>-0.81</v>
      </c>
    </row>
    <row r="637" spans="1:5" x14ac:dyDescent="0.3">
      <c r="A637" s="27" t="s">
        <v>3021</v>
      </c>
      <c r="B637" s="27" t="s">
        <v>29</v>
      </c>
      <c r="C637">
        <v>4.9400000000000004</v>
      </c>
      <c r="D637">
        <v>4.9000000000000004</v>
      </c>
      <c r="E637">
        <v>-0.81</v>
      </c>
    </row>
    <row r="638" spans="1:5" x14ac:dyDescent="0.3">
      <c r="A638" s="27" t="s">
        <v>3022</v>
      </c>
      <c r="B638" s="27" t="s">
        <v>10</v>
      </c>
      <c r="C638">
        <v>1052.3499999999999</v>
      </c>
      <c r="D638">
        <v>1043.8499999999999</v>
      </c>
      <c r="E638">
        <v>-0.81</v>
      </c>
    </row>
    <row r="639" spans="1:5" x14ac:dyDescent="0.3">
      <c r="A639" s="27" t="s">
        <v>3023</v>
      </c>
      <c r="B639" s="27" t="s">
        <v>11</v>
      </c>
      <c r="C639">
        <v>18.45</v>
      </c>
      <c r="D639">
        <v>18.3</v>
      </c>
      <c r="E639">
        <v>-0.81</v>
      </c>
    </row>
    <row r="640" spans="1:5" x14ac:dyDescent="0.3">
      <c r="A640" s="27" t="s">
        <v>3024</v>
      </c>
      <c r="B640" s="27" t="s">
        <v>33</v>
      </c>
      <c r="C640">
        <v>24.7</v>
      </c>
      <c r="D640">
        <v>24.5</v>
      </c>
      <c r="E640">
        <v>-0.81</v>
      </c>
    </row>
    <row r="641" spans="1:5" x14ac:dyDescent="0.3">
      <c r="A641" s="27" t="s">
        <v>3025</v>
      </c>
      <c r="B641" s="27" t="s">
        <v>10</v>
      </c>
      <c r="C641">
        <v>166.7</v>
      </c>
      <c r="D641">
        <v>165.35</v>
      </c>
      <c r="E641">
        <v>-0.81</v>
      </c>
    </row>
    <row r="642" spans="1:5" x14ac:dyDescent="0.3">
      <c r="A642" s="27" t="s">
        <v>3026</v>
      </c>
      <c r="B642" s="27" t="s">
        <v>10</v>
      </c>
      <c r="C642">
        <v>7887.3</v>
      </c>
      <c r="D642">
        <v>7824.1</v>
      </c>
      <c r="E642">
        <v>-0.8</v>
      </c>
    </row>
    <row r="643" spans="1:5" x14ac:dyDescent="0.3">
      <c r="A643" s="27" t="s">
        <v>3027</v>
      </c>
      <c r="B643" s="27" t="s">
        <v>10</v>
      </c>
      <c r="C643">
        <v>1524.4</v>
      </c>
      <c r="D643">
        <v>1512.2</v>
      </c>
      <c r="E643">
        <v>-0.8</v>
      </c>
    </row>
    <row r="644" spans="1:5" x14ac:dyDescent="0.3">
      <c r="A644" s="27" t="s">
        <v>2150</v>
      </c>
      <c r="B644" s="27" t="s">
        <v>11</v>
      </c>
      <c r="C644">
        <v>62.15</v>
      </c>
      <c r="D644">
        <v>61.65</v>
      </c>
      <c r="E644">
        <v>-0.8</v>
      </c>
    </row>
    <row r="645" spans="1:5" x14ac:dyDescent="0.3">
      <c r="A645" s="27" t="s">
        <v>3028</v>
      </c>
      <c r="B645" s="27" t="s">
        <v>33</v>
      </c>
      <c r="C645">
        <v>93.55</v>
      </c>
      <c r="D645">
        <v>92.8</v>
      </c>
      <c r="E645">
        <v>-0.8</v>
      </c>
    </row>
    <row r="646" spans="1:5" x14ac:dyDescent="0.3">
      <c r="A646" s="27" t="s">
        <v>3029</v>
      </c>
      <c r="B646" s="27" t="s">
        <v>33</v>
      </c>
      <c r="C646">
        <v>37.299999999999997</v>
      </c>
      <c r="D646">
        <v>37</v>
      </c>
      <c r="E646">
        <v>-0.8</v>
      </c>
    </row>
    <row r="647" spans="1:5" x14ac:dyDescent="0.3">
      <c r="A647" s="27" t="s">
        <v>3030</v>
      </c>
      <c r="B647" s="27" t="s">
        <v>11</v>
      </c>
      <c r="C647">
        <v>624.95000000000005</v>
      </c>
      <c r="D647">
        <v>620</v>
      </c>
      <c r="E647">
        <v>-0.79</v>
      </c>
    </row>
    <row r="648" spans="1:5" x14ac:dyDescent="0.3">
      <c r="A648" s="27" t="s">
        <v>3031</v>
      </c>
      <c r="B648" s="27" t="s">
        <v>10</v>
      </c>
      <c r="C648">
        <v>608.79999999999995</v>
      </c>
      <c r="D648">
        <v>604</v>
      </c>
      <c r="E648">
        <v>-0.79</v>
      </c>
    </row>
    <row r="649" spans="1:5" x14ac:dyDescent="0.3">
      <c r="A649" s="27" t="s">
        <v>3032</v>
      </c>
      <c r="B649" s="27" t="s">
        <v>10</v>
      </c>
      <c r="C649">
        <v>94.45</v>
      </c>
      <c r="D649">
        <v>93.7</v>
      </c>
      <c r="E649">
        <v>-0.79</v>
      </c>
    </row>
    <row r="650" spans="1:5" x14ac:dyDescent="0.3">
      <c r="A650" s="27" t="s">
        <v>3033</v>
      </c>
      <c r="B650" s="27" t="s">
        <v>10</v>
      </c>
      <c r="C650">
        <v>1506.2</v>
      </c>
      <c r="D650">
        <v>1494.5</v>
      </c>
      <c r="E650">
        <v>-0.78</v>
      </c>
    </row>
    <row r="651" spans="1:5" x14ac:dyDescent="0.3">
      <c r="A651" s="27" t="s">
        <v>3034</v>
      </c>
      <c r="B651" s="27" t="s">
        <v>10</v>
      </c>
      <c r="C651">
        <v>51.9</v>
      </c>
      <c r="D651">
        <v>51.5</v>
      </c>
      <c r="E651">
        <v>-0.77</v>
      </c>
    </row>
    <row r="652" spans="1:5" x14ac:dyDescent="0.3">
      <c r="A652" s="27" t="s">
        <v>3035</v>
      </c>
      <c r="B652" s="27" t="s">
        <v>29</v>
      </c>
      <c r="C652">
        <v>46</v>
      </c>
      <c r="D652">
        <v>45.65</v>
      </c>
      <c r="E652">
        <v>-0.76</v>
      </c>
    </row>
    <row r="653" spans="1:5" x14ac:dyDescent="0.3">
      <c r="A653" s="27" t="s">
        <v>3036</v>
      </c>
      <c r="B653" s="27" t="s">
        <v>11</v>
      </c>
      <c r="C653">
        <v>811.6</v>
      </c>
      <c r="D653">
        <v>805.4</v>
      </c>
      <c r="E653">
        <v>-0.76</v>
      </c>
    </row>
    <row r="654" spans="1:5" x14ac:dyDescent="0.3">
      <c r="A654" s="27" t="s">
        <v>3037</v>
      </c>
      <c r="B654" s="27" t="s">
        <v>33</v>
      </c>
      <c r="C654">
        <v>545.1</v>
      </c>
      <c r="D654">
        <v>541</v>
      </c>
      <c r="E654">
        <v>-0.75</v>
      </c>
    </row>
    <row r="655" spans="1:5" x14ac:dyDescent="0.3">
      <c r="A655" s="27" t="s">
        <v>3038</v>
      </c>
      <c r="B655" s="27" t="s">
        <v>33</v>
      </c>
      <c r="C655">
        <v>146.5</v>
      </c>
      <c r="D655">
        <v>145.4</v>
      </c>
      <c r="E655">
        <v>-0.75</v>
      </c>
    </row>
    <row r="656" spans="1:5" x14ac:dyDescent="0.3">
      <c r="A656" s="27" t="s">
        <v>3039</v>
      </c>
      <c r="B656" s="27" t="s">
        <v>33</v>
      </c>
      <c r="C656">
        <v>67.45</v>
      </c>
      <c r="D656">
        <v>66.95</v>
      </c>
      <c r="E656">
        <v>-0.74</v>
      </c>
    </row>
    <row r="657" spans="1:5" x14ac:dyDescent="0.3">
      <c r="A657" s="27" t="s">
        <v>3040</v>
      </c>
      <c r="B657" s="27" t="s">
        <v>10</v>
      </c>
      <c r="C657">
        <v>228.45</v>
      </c>
      <c r="D657">
        <v>226.75</v>
      </c>
      <c r="E657">
        <v>-0.74</v>
      </c>
    </row>
    <row r="658" spans="1:5" x14ac:dyDescent="0.3">
      <c r="A658" s="27" t="s">
        <v>3041</v>
      </c>
      <c r="B658" s="27" t="s">
        <v>11</v>
      </c>
      <c r="C658">
        <v>122.8</v>
      </c>
      <c r="D658">
        <v>121.9</v>
      </c>
      <c r="E658">
        <v>-0.73</v>
      </c>
    </row>
    <row r="659" spans="1:5" x14ac:dyDescent="0.3">
      <c r="A659" s="27" t="s">
        <v>3042</v>
      </c>
      <c r="B659" s="27" t="s">
        <v>10</v>
      </c>
      <c r="C659">
        <v>1051.6500000000001</v>
      </c>
      <c r="D659">
        <v>1044</v>
      </c>
      <c r="E659">
        <v>-0.73</v>
      </c>
    </row>
    <row r="660" spans="1:5" x14ac:dyDescent="0.3">
      <c r="A660" s="27" t="s">
        <v>3043</v>
      </c>
      <c r="B660" s="27" t="s">
        <v>33</v>
      </c>
      <c r="C660">
        <v>34.65</v>
      </c>
      <c r="D660">
        <v>34.4</v>
      </c>
      <c r="E660">
        <v>-0.72</v>
      </c>
    </row>
    <row r="661" spans="1:5" x14ac:dyDescent="0.3">
      <c r="A661" s="27" t="s">
        <v>3044</v>
      </c>
      <c r="B661" s="27" t="s">
        <v>33</v>
      </c>
      <c r="C661">
        <v>6.94</v>
      </c>
      <c r="D661">
        <v>6.89</v>
      </c>
      <c r="E661">
        <v>-0.72</v>
      </c>
    </row>
    <row r="662" spans="1:5" x14ac:dyDescent="0.3">
      <c r="A662" s="27" t="s">
        <v>3045</v>
      </c>
      <c r="B662" s="27" t="s">
        <v>10</v>
      </c>
      <c r="C662">
        <v>169.45</v>
      </c>
      <c r="D662">
        <v>168.25</v>
      </c>
      <c r="E662">
        <v>-0.71</v>
      </c>
    </row>
    <row r="663" spans="1:5" x14ac:dyDescent="0.3">
      <c r="A663" s="27" t="s">
        <v>3046</v>
      </c>
      <c r="B663" s="27" t="s">
        <v>10</v>
      </c>
      <c r="C663">
        <v>927.1</v>
      </c>
      <c r="D663">
        <v>920.5</v>
      </c>
      <c r="E663">
        <v>-0.71</v>
      </c>
    </row>
    <row r="664" spans="1:5" x14ac:dyDescent="0.3">
      <c r="A664" s="27" t="s">
        <v>3047</v>
      </c>
      <c r="B664" s="27" t="s">
        <v>10</v>
      </c>
      <c r="C664">
        <v>154.30000000000001</v>
      </c>
      <c r="D664">
        <v>153.19999999999999</v>
      </c>
      <c r="E664">
        <v>-0.71</v>
      </c>
    </row>
    <row r="665" spans="1:5" x14ac:dyDescent="0.3">
      <c r="A665" s="27" t="s">
        <v>3048</v>
      </c>
      <c r="B665" s="27" t="s">
        <v>33</v>
      </c>
      <c r="C665">
        <v>352.25</v>
      </c>
      <c r="D665">
        <v>349.75</v>
      </c>
      <c r="E665">
        <v>-0.71</v>
      </c>
    </row>
    <row r="666" spans="1:5" x14ac:dyDescent="0.3">
      <c r="A666" s="27" t="s">
        <v>3049</v>
      </c>
      <c r="B666" s="27" t="s">
        <v>10</v>
      </c>
      <c r="C666">
        <v>486.55</v>
      </c>
      <c r="D666">
        <v>483.15</v>
      </c>
      <c r="E666">
        <v>-0.7</v>
      </c>
    </row>
    <row r="667" spans="1:5" x14ac:dyDescent="0.3">
      <c r="A667" s="27" t="s">
        <v>3050</v>
      </c>
      <c r="B667" s="27" t="s">
        <v>10</v>
      </c>
      <c r="C667">
        <v>623.04999999999995</v>
      </c>
      <c r="D667">
        <v>618.70000000000005</v>
      </c>
      <c r="E667">
        <v>-0.7</v>
      </c>
    </row>
    <row r="668" spans="1:5" x14ac:dyDescent="0.3">
      <c r="A668" s="27" t="s">
        <v>1412</v>
      </c>
      <c r="B668" s="27" t="s">
        <v>33</v>
      </c>
      <c r="C668">
        <v>101</v>
      </c>
      <c r="D668">
        <v>100.3</v>
      </c>
      <c r="E668">
        <v>-0.69</v>
      </c>
    </row>
    <row r="669" spans="1:5" x14ac:dyDescent="0.3">
      <c r="A669" s="27" t="s">
        <v>3051</v>
      </c>
      <c r="B669" s="27" t="s">
        <v>11</v>
      </c>
      <c r="C669">
        <v>204.4</v>
      </c>
      <c r="D669">
        <v>203</v>
      </c>
      <c r="E669">
        <v>-0.68</v>
      </c>
    </row>
    <row r="670" spans="1:5" x14ac:dyDescent="0.3">
      <c r="A670" s="27" t="s">
        <v>3052</v>
      </c>
      <c r="B670" s="27" t="s">
        <v>11</v>
      </c>
      <c r="C670">
        <v>59</v>
      </c>
      <c r="D670">
        <v>58.6</v>
      </c>
      <c r="E670">
        <v>-0.68</v>
      </c>
    </row>
    <row r="671" spans="1:5" x14ac:dyDescent="0.3">
      <c r="A671" s="27" t="s">
        <v>3053</v>
      </c>
      <c r="B671" s="27" t="s">
        <v>10</v>
      </c>
      <c r="C671">
        <v>1077</v>
      </c>
      <c r="D671">
        <v>1069.6500000000001</v>
      </c>
      <c r="E671">
        <v>-0.68</v>
      </c>
    </row>
    <row r="672" spans="1:5" x14ac:dyDescent="0.3">
      <c r="A672" s="27" t="s">
        <v>3054</v>
      </c>
      <c r="B672" s="27" t="s">
        <v>33</v>
      </c>
      <c r="C672">
        <v>15</v>
      </c>
      <c r="D672">
        <v>14.9</v>
      </c>
      <c r="E672">
        <v>-0.67</v>
      </c>
    </row>
    <row r="673" spans="1:5" x14ac:dyDescent="0.3">
      <c r="A673" s="27" t="s">
        <v>3055</v>
      </c>
      <c r="B673" s="27" t="s">
        <v>29</v>
      </c>
      <c r="C673">
        <v>606.70000000000005</v>
      </c>
      <c r="D673">
        <v>602.70000000000005</v>
      </c>
      <c r="E673">
        <v>-0.66</v>
      </c>
    </row>
    <row r="674" spans="1:5" x14ac:dyDescent="0.3">
      <c r="A674" s="27" t="s">
        <v>3056</v>
      </c>
      <c r="B674" s="27" t="s">
        <v>10</v>
      </c>
      <c r="C674">
        <v>53.2</v>
      </c>
      <c r="D674">
        <v>52.85</v>
      </c>
      <c r="E674">
        <v>-0.66</v>
      </c>
    </row>
    <row r="675" spans="1:5" x14ac:dyDescent="0.3">
      <c r="A675" s="27" t="s">
        <v>3057</v>
      </c>
      <c r="B675" s="27" t="s">
        <v>33</v>
      </c>
      <c r="C675">
        <v>155</v>
      </c>
      <c r="D675">
        <v>154</v>
      </c>
      <c r="E675">
        <v>-0.65</v>
      </c>
    </row>
    <row r="676" spans="1:5" x14ac:dyDescent="0.3">
      <c r="A676" s="27" t="s">
        <v>3058</v>
      </c>
      <c r="B676" s="27" t="s">
        <v>11</v>
      </c>
      <c r="C676">
        <v>331.4</v>
      </c>
      <c r="D676">
        <v>329.25</v>
      </c>
      <c r="E676">
        <v>-0.65</v>
      </c>
    </row>
    <row r="677" spans="1:5" x14ac:dyDescent="0.3">
      <c r="A677" s="27" t="s">
        <v>3059</v>
      </c>
      <c r="B677" s="27" t="s">
        <v>11</v>
      </c>
      <c r="C677">
        <v>139.15</v>
      </c>
      <c r="D677">
        <v>138.25</v>
      </c>
      <c r="E677">
        <v>-0.65</v>
      </c>
    </row>
    <row r="678" spans="1:5" x14ac:dyDescent="0.3">
      <c r="A678" s="27" t="s">
        <v>3060</v>
      </c>
      <c r="B678" s="27" t="s">
        <v>22</v>
      </c>
      <c r="C678">
        <v>235</v>
      </c>
      <c r="D678">
        <v>233.5</v>
      </c>
      <c r="E678">
        <v>-0.64</v>
      </c>
    </row>
    <row r="679" spans="1:5" x14ac:dyDescent="0.3">
      <c r="A679" s="27" t="s">
        <v>3061</v>
      </c>
      <c r="B679" s="27" t="s">
        <v>10</v>
      </c>
      <c r="C679">
        <v>273.64999999999998</v>
      </c>
      <c r="D679">
        <v>271.89999999999998</v>
      </c>
      <c r="E679">
        <v>-0.64</v>
      </c>
    </row>
    <row r="680" spans="1:5" x14ac:dyDescent="0.3">
      <c r="A680" s="27" t="s">
        <v>3062</v>
      </c>
      <c r="B680" s="27" t="s">
        <v>11</v>
      </c>
      <c r="C680">
        <v>124.8</v>
      </c>
      <c r="D680">
        <v>124</v>
      </c>
      <c r="E680">
        <v>-0.64</v>
      </c>
    </row>
    <row r="681" spans="1:5" x14ac:dyDescent="0.3">
      <c r="A681" s="27" t="s">
        <v>3063</v>
      </c>
      <c r="B681" s="27" t="s">
        <v>11</v>
      </c>
      <c r="C681">
        <v>39.200000000000003</v>
      </c>
      <c r="D681">
        <v>38.950000000000003</v>
      </c>
      <c r="E681">
        <v>-0.64</v>
      </c>
    </row>
    <row r="682" spans="1:5" x14ac:dyDescent="0.3">
      <c r="A682" s="27" t="s">
        <v>3064</v>
      </c>
      <c r="B682" s="27" t="s">
        <v>33</v>
      </c>
      <c r="C682">
        <v>78.25</v>
      </c>
      <c r="D682">
        <v>77.75</v>
      </c>
      <c r="E682">
        <v>-0.64</v>
      </c>
    </row>
    <row r="683" spans="1:5" x14ac:dyDescent="0.3">
      <c r="A683" s="27" t="s">
        <v>3065</v>
      </c>
      <c r="B683" s="27" t="s">
        <v>33</v>
      </c>
      <c r="C683">
        <v>31.65</v>
      </c>
      <c r="D683">
        <v>31.45</v>
      </c>
      <c r="E683">
        <v>-0.63</v>
      </c>
    </row>
    <row r="684" spans="1:5" x14ac:dyDescent="0.3">
      <c r="A684" s="27" t="s">
        <v>3066</v>
      </c>
      <c r="B684" s="27" t="s">
        <v>33</v>
      </c>
      <c r="C684">
        <v>23.65</v>
      </c>
      <c r="D684">
        <v>23.5</v>
      </c>
      <c r="E684">
        <v>-0.63</v>
      </c>
    </row>
    <row r="685" spans="1:5" x14ac:dyDescent="0.3">
      <c r="A685" s="27" t="s">
        <v>3067</v>
      </c>
      <c r="B685" s="27" t="s">
        <v>10</v>
      </c>
      <c r="C685">
        <v>433.45</v>
      </c>
      <c r="D685">
        <v>430.7</v>
      </c>
      <c r="E685">
        <v>-0.63</v>
      </c>
    </row>
    <row r="686" spans="1:5" x14ac:dyDescent="0.3">
      <c r="A686" s="27" t="s">
        <v>3068</v>
      </c>
      <c r="B686" s="27" t="s">
        <v>11</v>
      </c>
      <c r="C686">
        <v>15.75</v>
      </c>
      <c r="D686">
        <v>15.65</v>
      </c>
      <c r="E686">
        <v>-0.63</v>
      </c>
    </row>
    <row r="687" spans="1:5" x14ac:dyDescent="0.3">
      <c r="A687" s="27" t="s">
        <v>3069</v>
      </c>
      <c r="B687" s="27" t="s">
        <v>10</v>
      </c>
      <c r="C687">
        <v>3686.45</v>
      </c>
      <c r="D687">
        <v>3663.75</v>
      </c>
      <c r="E687">
        <v>-0.62</v>
      </c>
    </row>
    <row r="688" spans="1:5" x14ac:dyDescent="0.3">
      <c r="A688" s="27" t="s">
        <v>3070</v>
      </c>
      <c r="B688" s="27" t="s">
        <v>11</v>
      </c>
      <c r="C688">
        <v>8.07</v>
      </c>
      <c r="D688">
        <v>8.02</v>
      </c>
      <c r="E688">
        <v>-0.62</v>
      </c>
    </row>
    <row r="689" spans="1:5" x14ac:dyDescent="0.3">
      <c r="A689" s="27" t="s">
        <v>3071</v>
      </c>
      <c r="B689" s="27" t="s">
        <v>10</v>
      </c>
      <c r="C689">
        <v>849.1</v>
      </c>
      <c r="D689">
        <v>844</v>
      </c>
      <c r="E689">
        <v>-0.6</v>
      </c>
    </row>
    <row r="690" spans="1:5" x14ac:dyDescent="0.3">
      <c r="A690" s="27" t="s">
        <v>3072</v>
      </c>
      <c r="B690" s="27" t="s">
        <v>11</v>
      </c>
      <c r="C690">
        <v>248.5</v>
      </c>
      <c r="D690">
        <v>247</v>
      </c>
      <c r="E690">
        <v>-0.6</v>
      </c>
    </row>
    <row r="691" spans="1:5" x14ac:dyDescent="0.3">
      <c r="A691" s="27" t="s">
        <v>3073</v>
      </c>
      <c r="B691" s="27" t="s">
        <v>33</v>
      </c>
      <c r="C691">
        <v>150.9</v>
      </c>
      <c r="D691">
        <v>150</v>
      </c>
      <c r="E691">
        <v>-0.6</v>
      </c>
    </row>
    <row r="692" spans="1:5" x14ac:dyDescent="0.3">
      <c r="A692" s="27" t="s">
        <v>3074</v>
      </c>
      <c r="B692" s="27" t="s">
        <v>10</v>
      </c>
      <c r="C692">
        <v>82.7</v>
      </c>
      <c r="D692">
        <v>82.2</v>
      </c>
      <c r="E692">
        <v>-0.6</v>
      </c>
    </row>
    <row r="693" spans="1:5" x14ac:dyDescent="0.3">
      <c r="A693" s="27" t="s">
        <v>3075</v>
      </c>
      <c r="B693" s="27" t="s">
        <v>11</v>
      </c>
      <c r="C693">
        <v>24.95</v>
      </c>
      <c r="D693">
        <v>24.8</v>
      </c>
      <c r="E693">
        <v>-0.6</v>
      </c>
    </row>
    <row r="694" spans="1:5" x14ac:dyDescent="0.3">
      <c r="A694" s="27" t="s">
        <v>3076</v>
      </c>
      <c r="B694" s="27" t="s">
        <v>11</v>
      </c>
      <c r="C694">
        <v>8.3000000000000007</v>
      </c>
      <c r="D694">
        <v>8.25</v>
      </c>
      <c r="E694">
        <v>-0.6</v>
      </c>
    </row>
    <row r="695" spans="1:5" x14ac:dyDescent="0.3">
      <c r="A695" s="27" t="s">
        <v>3077</v>
      </c>
      <c r="B695" s="27" t="s">
        <v>10</v>
      </c>
      <c r="C695">
        <v>265.05</v>
      </c>
      <c r="D695">
        <v>263.45</v>
      </c>
      <c r="E695">
        <v>-0.6</v>
      </c>
    </row>
    <row r="696" spans="1:5" x14ac:dyDescent="0.3">
      <c r="A696" s="27" t="s">
        <v>3078</v>
      </c>
      <c r="B696" s="27" t="s">
        <v>10</v>
      </c>
      <c r="C696">
        <v>5885.25</v>
      </c>
      <c r="D696">
        <v>5849.85</v>
      </c>
      <c r="E696">
        <v>-0.6</v>
      </c>
    </row>
    <row r="697" spans="1:5" x14ac:dyDescent="0.3">
      <c r="A697" s="27" t="s">
        <v>3079</v>
      </c>
      <c r="B697" s="27" t="s">
        <v>11</v>
      </c>
      <c r="C697">
        <v>419.8</v>
      </c>
      <c r="D697">
        <v>417.3</v>
      </c>
      <c r="E697">
        <v>-0.6</v>
      </c>
    </row>
    <row r="698" spans="1:5" x14ac:dyDescent="0.3">
      <c r="A698" s="27" t="s">
        <v>3080</v>
      </c>
      <c r="B698" s="27" t="s">
        <v>10</v>
      </c>
      <c r="C698">
        <v>307.14999999999998</v>
      </c>
      <c r="D698">
        <v>305.3</v>
      </c>
      <c r="E698">
        <v>-0.6</v>
      </c>
    </row>
    <row r="699" spans="1:5" x14ac:dyDescent="0.3">
      <c r="A699" s="27" t="s">
        <v>3081</v>
      </c>
      <c r="B699" s="27" t="s">
        <v>11</v>
      </c>
      <c r="C699">
        <v>76.45</v>
      </c>
      <c r="D699">
        <v>76</v>
      </c>
      <c r="E699">
        <v>-0.59</v>
      </c>
    </row>
    <row r="700" spans="1:5" x14ac:dyDescent="0.3">
      <c r="A700" s="27" t="s">
        <v>3082</v>
      </c>
      <c r="B700" s="27" t="s">
        <v>33</v>
      </c>
      <c r="C700">
        <v>10.25</v>
      </c>
      <c r="D700">
        <v>10.19</v>
      </c>
      <c r="E700">
        <v>-0.59</v>
      </c>
    </row>
    <row r="701" spans="1:5" x14ac:dyDescent="0.3">
      <c r="A701" s="27" t="s">
        <v>3083</v>
      </c>
      <c r="B701" s="27" t="s">
        <v>11</v>
      </c>
      <c r="C701">
        <v>34.700000000000003</v>
      </c>
      <c r="D701">
        <v>34.5</v>
      </c>
      <c r="E701">
        <v>-0.57999999999999996</v>
      </c>
    </row>
    <row r="702" spans="1:5" x14ac:dyDescent="0.3">
      <c r="A702" s="27" t="s">
        <v>3084</v>
      </c>
      <c r="B702" s="27" t="s">
        <v>11</v>
      </c>
      <c r="C702">
        <v>115</v>
      </c>
      <c r="D702">
        <v>114.35</v>
      </c>
      <c r="E702">
        <v>-0.56999999999999995</v>
      </c>
    </row>
    <row r="703" spans="1:5" x14ac:dyDescent="0.3">
      <c r="A703" s="27" t="s">
        <v>3085</v>
      </c>
      <c r="B703" s="27" t="s">
        <v>11</v>
      </c>
      <c r="C703">
        <v>802.5</v>
      </c>
      <c r="D703">
        <v>797.9</v>
      </c>
      <c r="E703">
        <v>-0.56999999999999995</v>
      </c>
    </row>
    <row r="704" spans="1:5" x14ac:dyDescent="0.3">
      <c r="A704" s="27" t="s">
        <v>3086</v>
      </c>
      <c r="B704" s="27" t="s">
        <v>10</v>
      </c>
      <c r="C704">
        <v>7.06</v>
      </c>
      <c r="D704">
        <v>7.02</v>
      </c>
      <c r="E704">
        <v>-0.56999999999999995</v>
      </c>
    </row>
    <row r="705" spans="1:5" x14ac:dyDescent="0.3">
      <c r="A705" s="27" t="s">
        <v>3087</v>
      </c>
      <c r="B705" s="27" t="s">
        <v>11</v>
      </c>
      <c r="C705">
        <v>255.55</v>
      </c>
      <c r="D705">
        <v>254.1</v>
      </c>
      <c r="E705">
        <v>-0.56999999999999995</v>
      </c>
    </row>
    <row r="706" spans="1:5" x14ac:dyDescent="0.3">
      <c r="A706" s="27" t="s">
        <v>3088</v>
      </c>
      <c r="B706" s="27" t="s">
        <v>11</v>
      </c>
      <c r="C706">
        <v>2131.8000000000002</v>
      </c>
      <c r="D706">
        <v>2119.65</v>
      </c>
      <c r="E706">
        <v>-0.56999999999999995</v>
      </c>
    </row>
    <row r="707" spans="1:5" x14ac:dyDescent="0.3">
      <c r="A707" s="27" t="s">
        <v>3089</v>
      </c>
      <c r="B707" s="27" t="s">
        <v>11</v>
      </c>
      <c r="C707">
        <v>10.56</v>
      </c>
      <c r="D707">
        <v>10.5</v>
      </c>
      <c r="E707">
        <v>-0.56999999999999995</v>
      </c>
    </row>
    <row r="708" spans="1:5" x14ac:dyDescent="0.3">
      <c r="A708" s="27" t="s">
        <v>3090</v>
      </c>
      <c r="B708" s="27" t="s">
        <v>11</v>
      </c>
      <c r="C708">
        <v>17.45</v>
      </c>
      <c r="D708">
        <v>17.350000000000001</v>
      </c>
      <c r="E708">
        <v>-0.56999999999999995</v>
      </c>
    </row>
    <row r="709" spans="1:5" x14ac:dyDescent="0.3">
      <c r="A709" s="27" t="s">
        <v>3091</v>
      </c>
      <c r="B709" s="27" t="s">
        <v>10</v>
      </c>
      <c r="C709">
        <v>4809.3500000000004</v>
      </c>
      <c r="D709">
        <v>4782.3500000000004</v>
      </c>
      <c r="E709">
        <v>-0.56000000000000005</v>
      </c>
    </row>
    <row r="710" spans="1:5" x14ac:dyDescent="0.3">
      <c r="A710" s="27" t="s">
        <v>3092</v>
      </c>
      <c r="B710" s="27" t="s">
        <v>33</v>
      </c>
      <c r="C710">
        <v>44.25</v>
      </c>
      <c r="D710">
        <v>44</v>
      </c>
      <c r="E710">
        <v>-0.56000000000000005</v>
      </c>
    </row>
    <row r="711" spans="1:5" x14ac:dyDescent="0.3">
      <c r="A711" s="27" t="s">
        <v>3093</v>
      </c>
      <c r="B711" s="27" t="s">
        <v>11</v>
      </c>
      <c r="C711">
        <v>1425.2</v>
      </c>
      <c r="D711">
        <v>1417.15</v>
      </c>
      <c r="E711">
        <v>-0.56000000000000005</v>
      </c>
    </row>
    <row r="712" spans="1:5" x14ac:dyDescent="0.3">
      <c r="A712" s="27" t="s">
        <v>3094</v>
      </c>
      <c r="B712" s="27" t="s">
        <v>29</v>
      </c>
      <c r="C712">
        <v>53.9</v>
      </c>
      <c r="D712">
        <v>53.6</v>
      </c>
      <c r="E712">
        <v>-0.56000000000000005</v>
      </c>
    </row>
    <row r="713" spans="1:5" x14ac:dyDescent="0.3">
      <c r="A713" s="27" t="s">
        <v>3095</v>
      </c>
      <c r="B713" s="27" t="s">
        <v>33</v>
      </c>
      <c r="C713">
        <v>26.6</v>
      </c>
      <c r="D713">
        <v>26.45</v>
      </c>
      <c r="E713">
        <v>-0.56000000000000005</v>
      </c>
    </row>
    <row r="714" spans="1:5" x14ac:dyDescent="0.3">
      <c r="A714" s="27" t="s">
        <v>3096</v>
      </c>
      <c r="B714" s="27" t="s">
        <v>33</v>
      </c>
      <c r="C714">
        <v>17.75</v>
      </c>
      <c r="D714">
        <v>17.649999999999999</v>
      </c>
      <c r="E714">
        <v>-0.56000000000000005</v>
      </c>
    </row>
    <row r="715" spans="1:5" x14ac:dyDescent="0.3">
      <c r="A715" s="27" t="s">
        <v>3097</v>
      </c>
      <c r="B715" s="27" t="s">
        <v>33</v>
      </c>
      <c r="C715">
        <v>408</v>
      </c>
      <c r="D715">
        <v>405.75</v>
      </c>
      <c r="E715">
        <v>-0.55000000000000004</v>
      </c>
    </row>
    <row r="716" spans="1:5" x14ac:dyDescent="0.3">
      <c r="A716" s="27" t="s">
        <v>3098</v>
      </c>
      <c r="B716" s="27" t="s">
        <v>10</v>
      </c>
      <c r="C716">
        <v>199.75</v>
      </c>
      <c r="D716">
        <v>198.65</v>
      </c>
      <c r="E716">
        <v>-0.55000000000000004</v>
      </c>
    </row>
    <row r="717" spans="1:5" x14ac:dyDescent="0.3">
      <c r="A717" s="27" t="s">
        <v>3099</v>
      </c>
      <c r="B717" s="27" t="s">
        <v>11</v>
      </c>
      <c r="C717">
        <v>63.25</v>
      </c>
      <c r="D717">
        <v>62.9</v>
      </c>
      <c r="E717">
        <v>-0.55000000000000004</v>
      </c>
    </row>
    <row r="718" spans="1:5" x14ac:dyDescent="0.3">
      <c r="A718" s="27" t="s">
        <v>3100</v>
      </c>
      <c r="B718" s="27" t="s">
        <v>29</v>
      </c>
      <c r="C718">
        <v>119.65</v>
      </c>
      <c r="D718">
        <v>119</v>
      </c>
      <c r="E718">
        <v>-0.54</v>
      </c>
    </row>
    <row r="719" spans="1:5" x14ac:dyDescent="0.3">
      <c r="A719" s="27" t="s">
        <v>3101</v>
      </c>
      <c r="B719" s="27" t="s">
        <v>33</v>
      </c>
      <c r="C719">
        <v>222.2</v>
      </c>
      <c r="D719">
        <v>221</v>
      </c>
      <c r="E719">
        <v>-0.54</v>
      </c>
    </row>
    <row r="720" spans="1:5" x14ac:dyDescent="0.3">
      <c r="A720" s="27" t="s">
        <v>2380</v>
      </c>
      <c r="B720" s="27" t="s">
        <v>11</v>
      </c>
      <c r="C720">
        <v>103.55</v>
      </c>
      <c r="D720">
        <v>103</v>
      </c>
      <c r="E720">
        <v>-0.53</v>
      </c>
    </row>
    <row r="721" spans="1:5" x14ac:dyDescent="0.3">
      <c r="A721" s="27" t="s">
        <v>3102</v>
      </c>
      <c r="B721" s="27" t="s">
        <v>33</v>
      </c>
      <c r="C721">
        <v>112.6</v>
      </c>
      <c r="D721">
        <v>112</v>
      </c>
      <c r="E721">
        <v>-0.53</v>
      </c>
    </row>
    <row r="722" spans="1:5" x14ac:dyDescent="0.3">
      <c r="A722" s="27" t="s">
        <v>3103</v>
      </c>
      <c r="B722" s="27" t="s">
        <v>33</v>
      </c>
      <c r="C722">
        <v>1.89</v>
      </c>
      <c r="D722">
        <v>1.88</v>
      </c>
      <c r="E722">
        <v>-0.53</v>
      </c>
    </row>
    <row r="723" spans="1:5" x14ac:dyDescent="0.3">
      <c r="A723" s="27" t="s">
        <v>3104</v>
      </c>
      <c r="B723" s="27" t="s">
        <v>10</v>
      </c>
      <c r="C723">
        <v>1575.2</v>
      </c>
      <c r="D723">
        <v>1566.8</v>
      </c>
      <c r="E723">
        <v>-0.53</v>
      </c>
    </row>
    <row r="724" spans="1:5" x14ac:dyDescent="0.3">
      <c r="A724" s="27" t="s">
        <v>3105</v>
      </c>
      <c r="B724" s="27" t="s">
        <v>10</v>
      </c>
      <c r="C724">
        <v>2719.9</v>
      </c>
      <c r="D724">
        <v>2705.5</v>
      </c>
      <c r="E724">
        <v>-0.53</v>
      </c>
    </row>
    <row r="725" spans="1:5" x14ac:dyDescent="0.3">
      <c r="A725" s="27" t="s">
        <v>3106</v>
      </c>
      <c r="B725" s="27" t="s">
        <v>33</v>
      </c>
      <c r="C725">
        <v>15.38</v>
      </c>
      <c r="D725">
        <v>15.3</v>
      </c>
      <c r="E725">
        <v>-0.52</v>
      </c>
    </row>
    <row r="726" spans="1:5" x14ac:dyDescent="0.3">
      <c r="A726" s="27" t="s">
        <v>3107</v>
      </c>
      <c r="B726" s="27" t="s">
        <v>10</v>
      </c>
      <c r="C726">
        <v>994.8</v>
      </c>
      <c r="D726">
        <v>989.7</v>
      </c>
      <c r="E726">
        <v>-0.51</v>
      </c>
    </row>
    <row r="727" spans="1:5" x14ac:dyDescent="0.3">
      <c r="A727" s="27" t="s">
        <v>3108</v>
      </c>
      <c r="B727" s="27" t="s">
        <v>10</v>
      </c>
      <c r="C727">
        <v>282.39999999999998</v>
      </c>
      <c r="D727">
        <v>281</v>
      </c>
      <c r="E727">
        <v>-0.5</v>
      </c>
    </row>
    <row r="728" spans="1:5" x14ac:dyDescent="0.3">
      <c r="A728" s="27" t="s">
        <v>3109</v>
      </c>
      <c r="B728" s="27" t="s">
        <v>33</v>
      </c>
      <c r="C728">
        <v>19.899999999999999</v>
      </c>
      <c r="D728">
        <v>19.8</v>
      </c>
      <c r="E728">
        <v>-0.5</v>
      </c>
    </row>
    <row r="729" spans="1:5" x14ac:dyDescent="0.3">
      <c r="A729" s="27" t="s">
        <v>3110</v>
      </c>
      <c r="B729" s="27" t="s">
        <v>33</v>
      </c>
      <c r="C729">
        <v>39.799999999999997</v>
      </c>
      <c r="D729">
        <v>39.6</v>
      </c>
      <c r="E729">
        <v>-0.5</v>
      </c>
    </row>
    <row r="730" spans="1:5" x14ac:dyDescent="0.3">
      <c r="A730" s="27" t="s">
        <v>3111</v>
      </c>
      <c r="B730" s="27" t="s">
        <v>328</v>
      </c>
      <c r="C730">
        <v>4.0199999999999996</v>
      </c>
      <c r="D730">
        <v>4</v>
      </c>
      <c r="E730">
        <v>-0.5</v>
      </c>
    </row>
    <row r="731" spans="1:5" x14ac:dyDescent="0.3">
      <c r="A731" s="27" t="s">
        <v>3112</v>
      </c>
      <c r="B731" s="27" t="s">
        <v>33</v>
      </c>
      <c r="C731">
        <v>20.5</v>
      </c>
      <c r="D731">
        <v>20.399999999999999</v>
      </c>
      <c r="E731">
        <v>-0.49</v>
      </c>
    </row>
    <row r="732" spans="1:5" x14ac:dyDescent="0.3">
      <c r="A732" s="27" t="s">
        <v>3113</v>
      </c>
      <c r="B732" s="27" t="s">
        <v>33</v>
      </c>
      <c r="C732">
        <v>703.45</v>
      </c>
      <c r="D732">
        <v>700</v>
      </c>
      <c r="E732">
        <v>-0.49</v>
      </c>
    </row>
    <row r="733" spans="1:5" x14ac:dyDescent="0.3">
      <c r="A733" s="27" t="s">
        <v>3114</v>
      </c>
      <c r="B733" s="27" t="s">
        <v>10</v>
      </c>
      <c r="C733">
        <v>656.6</v>
      </c>
      <c r="D733">
        <v>653.35</v>
      </c>
      <c r="E733">
        <v>-0.49</v>
      </c>
    </row>
    <row r="734" spans="1:5" x14ac:dyDescent="0.3">
      <c r="A734" s="27" t="s">
        <v>3115</v>
      </c>
      <c r="B734" s="27" t="s">
        <v>11</v>
      </c>
      <c r="C734">
        <v>21</v>
      </c>
      <c r="D734">
        <v>20.9</v>
      </c>
      <c r="E734">
        <v>-0.48</v>
      </c>
    </row>
    <row r="735" spans="1:5" x14ac:dyDescent="0.3">
      <c r="A735" s="27" t="s">
        <v>3116</v>
      </c>
      <c r="B735" s="27" t="s">
        <v>11</v>
      </c>
      <c r="C735">
        <v>41.7</v>
      </c>
      <c r="D735">
        <v>41.5</v>
      </c>
      <c r="E735">
        <v>-0.48</v>
      </c>
    </row>
    <row r="736" spans="1:5" x14ac:dyDescent="0.3">
      <c r="A736" s="27" t="s">
        <v>3117</v>
      </c>
      <c r="B736" s="27" t="s">
        <v>33</v>
      </c>
      <c r="C736">
        <v>10.33</v>
      </c>
      <c r="D736">
        <v>10.28</v>
      </c>
      <c r="E736">
        <v>-0.48</v>
      </c>
    </row>
    <row r="737" spans="1:5" x14ac:dyDescent="0.3">
      <c r="A737" s="27" t="s">
        <v>3118</v>
      </c>
      <c r="B737" s="27" t="s">
        <v>33</v>
      </c>
      <c r="C737">
        <v>21.1</v>
      </c>
      <c r="D737">
        <v>21</v>
      </c>
      <c r="E737">
        <v>-0.47</v>
      </c>
    </row>
    <row r="738" spans="1:5" x14ac:dyDescent="0.3">
      <c r="A738" s="27" t="s">
        <v>3119</v>
      </c>
      <c r="B738" s="27" t="s">
        <v>11</v>
      </c>
      <c r="C738">
        <v>350.85</v>
      </c>
      <c r="D738">
        <v>349.2</v>
      </c>
      <c r="E738">
        <v>-0.47</v>
      </c>
    </row>
    <row r="739" spans="1:5" x14ac:dyDescent="0.3">
      <c r="A739" s="27" t="s">
        <v>3120</v>
      </c>
      <c r="B739" s="27" t="s">
        <v>10</v>
      </c>
      <c r="C739">
        <v>183.95</v>
      </c>
      <c r="D739">
        <v>183.1</v>
      </c>
      <c r="E739">
        <v>-0.46</v>
      </c>
    </row>
    <row r="740" spans="1:5" x14ac:dyDescent="0.3">
      <c r="A740" s="27" t="s">
        <v>2342</v>
      </c>
      <c r="B740" s="27" t="s">
        <v>10</v>
      </c>
      <c r="C740">
        <v>76.900000000000006</v>
      </c>
      <c r="D740">
        <v>76.55</v>
      </c>
      <c r="E740">
        <v>-0.46</v>
      </c>
    </row>
    <row r="741" spans="1:5" x14ac:dyDescent="0.3">
      <c r="A741" s="27" t="s">
        <v>3121</v>
      </c>
      <c r="B741" s="27" t="s">
        <v>10</v>
      </c>
      <c r="C741">
        <v>959.8</v>
      </c>
      <c r="D741">
        <v>955.5</v>
      </c>
      <c r="E741">
        <v>-0.45</v>
      </c>
    </row>
    <row r="742" spans="1:5" x14ac:dyDescent="0.3">
      <c r="A742" s="27" t="s">
        <v>3122</v>
      </c>
      <c r="B742" s="27" t="s">
        <v>10</v>
      </c>
      <c r="C742">
        <v>330.95</v>
      </c>
      <c r="D742">
        <v>329.5</v>
      </c>
      <c r="E742">
        <v>-0.44</v>
      </c>
    </row>
    <row r="743" spans="1:5" x14ac:dyDescent="0.3">
      <c r="A743" s="27" t="s">
        <v>3123</v>
      </c>
      <c r="B743" s="27" t="s">
        <v>10</v>
      </c>
      <c r="C743">
        <v>517</v>
      </c>
      <c r="D743">
        <v>514.75</v>
      </c>
      <c r="E743">
        <v>-0.44</v>
      </c>
    </row>
    <row r="744" spans="1:5" x14ac:dyDescent="0.3">
      <c r="A744" s="27" t="s">
        <v>3124</v>
      </c>
      <c r="B744" s="27" t="s">
        <v>11</v>
      </c>
      <c r="C744">
        <v>114.55</v>
      </c>
      <c r="D744">
        <v>114.05</v>
      </c>
      <c r="E744">
        <v>-0.44</v>
      </c>
    </row>
    <row r="745" spans="1:5" x14ac:dyDescent="0.3">
      <c r="A745" s="27" t="s">
        <v>3125</v>
      </c>
      <c r="B745" s="27" t="s">
        <v>10</v>
      </c>
      <c r="C745">
        <v>378.85</v>
      </c>
      <c r="D745">
        <v>377.2</v>
      </c>
      <c r="E745">
        <v>-0.44</v>
      </c>
    </row>
    <row r="746" spans="1:5" x14ac:dyDescent="0.3">
      <c r="A746" s="27" t="s">
        <v>3126</v>
      </c>
      <c r="B746" s="27" t="s">
        <v>11</v>
      </c>
      <c r="C746">
        <v>159.85</v>
      </c>
      <c r="D746">
        <v>159.15</v>
      </c>
      <c r="E746">
        <v>-0.44</v>
      </c>
    </row>
    <row r="747" spans="1:5" x14ac:dyDescent="0.3">
      <c r="A747" s="27" t="s">
        <v>3127</v>
      </c>
      <c r="B747" s="27" t="s">
        <v>33</v>
      </c>
      <c r="C747">
        <v>279.7</v>
      </c>
      <c r="D747">
        <v>278.5</v>
      </c>
      <c r="E747">
        <v>-0.43</v>
      </c>
    </row>
    <row r="748" spans="1:5" x14ac:dyDescent="0.3">
      <c r="A748" s="27" t="s">
        <v>3128</v>
      </c>
      <c r="B748" s="27" t="s">
        <v>11</v>
      </c>
      <c r="C748">
        <v>1395.95</v>
      </c>
      <c r="D748">
        <v>1390</v>
      </c>
      <c r="E748">
        <v>-0.43</v>
      </c>
    </row>
    <row r="749" spans="1:5" x14ac:dyDescent="0.3">
      <c r="A749" s="27" t="s">
        <v>3129</v>
      </c>
      <c r="B749" s="27" t="s">
        <v>328</v>
      </c>
      <c r="C749">
        <v>4.74</v>
      </c>
      <c r="D749">
        <v>4.72</v>
      </c>
      <c r="E749">
        <v>-0.42</v>
      </c>
    </row>
    <row r="750" spans="1:5" x14ac:dyDescent="0.3">
      <c r="A750" s="27" t="s">
        <v>3130</v>
      </c>
      <c r="B750" s="27" t="s">
        <v>11</v>
      </c>
      <c r="C750">
        <v>24.05</v>
      </c>
      <c r="D750">
        <v>23.95</v>
      </c>
      <c r="E750">
        <v>-0.42</v>
      </c>
    </row>
    <row r="751" spans="1:5" x14ac:dyDescent="0.3">
      <c r="A751" s="27" t="s">
        <v>3131</v>
      </c>
      <c r="B751" s="27" t="s">
        <v>33</v>
      </c>
      <c r="C751">
        <v>7.18</v>
      </c>
      <c r="D751">
        <v>7.15</v>
      </c>
      <c r="E751">
        <v>-0.42</v>
      </c>
    </row>
    <row r="752" spans="1:5" x14ac:dyDescent="0.3">
      <c r="A752" s="27" t="s">
        <v>3132</v>
      </c>
      <c r="B752" s="27" t="s">
        <v>10</v>
      </c>
      <c r="C752">
        <v>2703.85</v>
      </c>
      <c r="D752">
        <v>2692.5</v>
      </c>
      <c r="E752">
        <v>-0.42</v>
      </c>
    </row>
    <row r="753" spans="1:5" x14ac:dyDescent="0.3">
      <c r="A753" s="27" t="s">
        <v>3133</v>
      </c>
      <c r="B753" s="27" t="s">
        <v>11</v>
      </c>
      <c r="C753">
        <v>110.45</v>
      </c>
      <c r="D753">
        <v>110</v>
      </c>
      <c r="E753">
        <v>-0.41</v>
      </c>
    </row>
    <row r="754" spans="1:5" x14ac:dyDescent="0.3">
      <c r="A754" s="27" t="s">
        <v>3134</v>
      </c>
      <c r="B754" s="27" t="s">
        <v>10</v>
      </c>
      <c r="C754">
        <v>4238.1000000000004</v>
      </c>
      <c r="D754">
        <v>4220.8</v>
      </c>
      <c r="E754">
        <v>-0.41</v>
      </c>
    </row>
    <row r="755" spans="1:5" x14ac:dyDescent="0.3">
      <c r="A755" s="27" t="s">
        <v>3135</v>
      </c>
      <c r="B755" s="27" t="s">
        <v>11</v>
      </c>
      <c r="C755">
        <v>72.55</v>
      </c>
      <c r="D755">
        <v>72.25</v>
      </c>
      <c r="E755">
        <v>-0.41</v>
      </c>
    </row>
    <row r="756" spans="1:5" x14ac:dyDescent="0.3">
      <c r="A756" s="27" t="s">
        <v>3136</v>
      </c>
      <c r="B756" s="27" t="s">
        <v>11</v>
      </c>
      <c r="C756">
        <v>4369.1000000000004</v>
      </c>
      <c r="D756">
        <v>4351</v>
      </c>
      <c r="E756">
        <v>-0.41</v>
      </c>
    </row>
    <row r="757" spans="1:5" x14ac:dyDescent="0.3">
      <c r="A757" s="27" t="s">
        <v>3137</v>
      </c>
      <c r="B757" s="27" t="s">
        <v>11</v>
      </c>
      <c r="C757">
        <v>577.15</v>
      </c>
      <c r="D757">
        <v>574.79999999999995</v>
      </c>
      <c r="E757">
        <v>-0.41</v>
      </c>
    </row>
    <row r="758" spans="1:5" x14ac:dyDescent="0.3">
      <c r="A758" s="27" t="s">
        <v>3138</v>
      </c>
      <c r="B758" s="27" t="s">
        <v>10</v>
      </c>
      <c r="C758">
        <v>713.5</v>
      </c>
      <c r="D758">
        <v>710.6</v>
      </c>
      <c r="E758">
        <v>-0.41</v>
      </c>
    </row>
    <row r="759" spans="1:5" x14ac:dyDescent="0.3">
      <c r="A759" s="27" t="s">
        <v>3139</v>
      </c>
      <c r="B759" s="27" t="s">
        <v>11</v>
      </c>
      <c r="C759">
        <v>37.35</v>
      </c>
      <c r="D759">
        <v>37.200000000000003</v>
      </c>
      <c r="E759">
        <v>-0.4</v>
      </c>
    </row>
    <row r="760" spans="1:5" x14ac:dyDescent="0.3">
      <c r="A760" s="27" t="s">
        <v>3140</v>
      </c>
      <c r="B760" s="27" t="s">
        <v>33</v>
      </c>
      <c r="C760">
        <v>1244.95</v>
      </c>
      <c r="D760">
        <v>1240</v>
      </c>
      <c r="E760">
        <v>-0.4</v>
      </c>
    </row>
    <row r="761" spans="1:5" x14ac:dyDescent="0.3">
      <c r="A761" s="27" t="s">
        <v>3141</v>
      </c>
      <c r="B761" s="27" t="s">
        <v>11</v>
      </c>
      <c r="C761">
        <v>594.9</v>
      </c>
      <c r="D761">
        <v>592.54999999999995</v>
      </c>
      <c r="E761">
        <v>-0.4</v>
      </c>
    </row>
    <row r="762" spans="1:5" x14ac:dyDescent="0.3">
      <c r="A762" s="27" t="s">
        <v>3142</v>
      </c>
      <c r="B762" s="27" t="s">
        <v>11</v>
      </c>
      <c r="C762">
        <v>2.48</v>
      </c>
      <c r="D762">
        <v>2.4700000000000002</v>
      </c>
      <c r="E762">
        <v>-0.4</v>
      </c>
    </row>
    <row r="763" spans="1:5" x14ac:dyDescent="0.3">
      <c r="A763" s="27" t="s">
        <v>3143</v>
      </c>
      <c r="B763" s="27" t="s">
        <v>11</v>
      </c>
      <c r="C763">
        <v>564.9</v>
      </c>
      <c r="D763">
        <v>562.65</v>
      </c>
      <c r="E763">
        <v>-0.4</v>
      </c>
    </row>
    <row r="764" spans="1:5" x14ac:dyDescent="0.3">
      <c r="A764" s="27" t="s">
        <v>2075</v>
      </c>
      <c r="B764" s="27" t="s">
        <v>328</v>
      </c>
      <c r="C764">
        <v>98.9</v>
      </c>
      <c r="D764">
        <v>98.5</v>
      </c>
      <c r="E764">
        <v>-0.4</v>
      </c>
    </row>
    <row r="765" spans="1:5" x14ac:dyDescent="0.3">
      <c r="A765" s="27" t="s">
        <v>3144</v>
      </c>
      <c r="B765" s="27" t="s">
        <v>11</v>
      </c>
      <c r="C765">
        <v>51.7</v>
      </c>
      <c r="D765">
        <v>51.5</v>
      </c>
      <c r="E765">
        <v>-0.39</v>
      </c>
    </row>
    <row r="766" spans="1:5" x14ac:dyDescent="0.3">
      <c r="A766" s="27" t="s">
        <v>3145</v>
      </c>
      <c r="B766" s="27" t="s">
        <v>11</v>
      </c>
      <c r="C766">
        <v>38.6</v>
      </c>
      <c r="D766">
        <v>38.450000000000003</v>
      </c>
      <c r="E766">
        <v>-0.39</v>
      </c>
    </row>
    <row r="767" spans="1:5" x14ac:dyDescent="0.3">
      <c r="A767" s="27" t="s">
        <v>3146</v>
      </c>
      <c r="B767" s="27" t="s">
        <v>33</v>
      </c>
      <c r="C767">
        <v>2008.75</v>
      </c>
      <c r="D767">
        <v>2001</v>
      </c>
      <c r="E767">
        <v>-0.39</v>
      </c>
    </row>
    <row r="768" spans="1:5" x14ac:dyDescent="0.3">
      <c r="A768" s="27" t="s">
        <v>3147</v>
      </c>
      <c r="B768" s="27" t="s">
        <v>33</v>
      </c>
      <c r="C768">
        <v>76.7</v>
      </c>
      <c r="D768">
        <v>76.400000000000006</v>
      </c>
      <c r="E768">
        <v>-0.39</v>
      </c>
    </row>
    <row r="769" spans="1:5" x14ac:dyDescent="0.3">
      <c r="A769" s="27" t="s">
        <v>3148</v>
      </c>
      <c r="B769" s="27" t="s">
        <v>328</v>
      </c>
      <c r="C769">
        <v>10.34</v>
      </c>
      <c r="D769">
        <v>10.3</v>
      </c>
      <c r="E769">
        <v>-0.39</v>
      </c>
    </row>
    <row r="770" spans="1:5" x14ac:dyDescent="0.3">
      <c r="A770" s="27" t="s">
        <v>3149</v>
      </c>
      <c r="B770" s="27" t="s">
        <v>328</v>
      </c>
      <c r="C770">
        <v>7.83</v>
      </c>
      <c r="D770">
        <v>7.8</v>
      </c>
      <c r="E770">
        <v>-0.38</v>
      </c>
    </row>
    <row r="771" spans="1:5" x14ac:dyDescent="0.3">
      <c r="A771" s="27" t="s">
        <v>3150</v>
      </c>
      <c r="B771" s="27" t="s">
        <v>11</v>
      </c>
      <c r="C771">
        <v>403.6</v>
      </c>
      <c r="D771">
        <v>402.05</v>
      </c>
      <c r="E771">
        <v>-0.38</v>
      </c>
    </row>
    <row r="772" spans="1:5" x14ac:dyDescent="0.3">
      <c r="A772" s="27" t="s">
        <v>3151</v>
      </c>
      <c r="B772" s="27" t="s">
        <v>10</v>
      </c>
      <c r="C772">
        <v>688</v>
      </c>
      <c r="D772">
        <v>685.4</v>
      </c>
      <c r="E772">
        <v>-0.38</v>
      </c>
    </row>
    <row r="773" spans="1:5" x14ac:dyDescent="0.3">
      <c r="A773" s="27" t="s">
        <v>3152</v>
      </c>
      <c r="B773" s="27" t="s">
        <v>11</v>
      </c>
      <c r="C773">
        <v>52.35</v>
      </c>
      <c r="D773">
        <v>52.15</v>
      </c>
      <c r="E773">
        <v>-0.38</v>
      </c>
    </row>
    <row r="774" spans="1:5" x14ac:dyDescent="0.3">
      <c r="A774" s="27" t="s">
        <v>3153</v>
      </c>
      <c r="B774" s="27" t="s">
        <v>35</v>
      </c>
      <c r="C774">
        <v>2.6</v>
      </c>
      <c r="D774">
        <v>2.59</v>
      </c>
      <c r="E774">
        <v>-0.38</v>
      </c>
    </row>
    <row r="775" spans="1:5" x14ac:dyDescent="0.3">
      <c r="A775" s="27" t="s">
        <v>3154</v>
      </c>
      <c r="B775" s="27" t="s">
        <v>10</v>
      </c>
      <c r="C775">
        <v>207.8</v>
      </c>
      <c r="D775">
        <v>207</v>
      </c>
      <c r="E775">
        <v>-0.38</v>
      </c>
    </row>
    <row r="776" spans="1:5" x14ac:dyDescent="0.3">
      <c r="A776" s="27" t="s">
        <v>3155</v>
      </c>
      <c r="B776" s="27" t="s">
        <v>10</v>
      </c>
      <c r="C776">
        <v>336.25</v>
      </c>
      <c r="D776">
        <v>335</v>
      </c>
      <c r="E776">
        <v>-0.37</v>
      </c>
    </row>
    <row r="777" spans="1:5" x14ac:dyDescent="0.3">
      <c r="A777" s="27" t="s">
        <v>1579</v>
      </c>
      <c r="B777" s="27" t="s">
        <v>33</v>
      </c>
      <c r="C777">
        <v>334.75</v>
      </c>
      <c r="D777">
        <v>333.5</v>
      </c>
      <c r="E777">
        <v>-0.37</v>
      </c>
    </row>
    <row r="778" spans="1:5" x14ac:dyDescent="0.3">
      <c r="A778" s="27" t="s">
        <v>2318</v>
      </c>
      <c r="B778" s="27" t="s">
        <v>10</v>
      </c>
      <c r="C778">
        <v>825.4</v>
      </c>
      <c r="D778">
        <v>822.35</v>
      </c>
      <c r="E778">
        <v>-0.37</v>
      </c>
    </row>
    <row r="779" spans="1:5" x14ac:dyDescent="0.3">
      <c r="A779" s="27" t="s">
        <v>3156</v>
      </c>
      <c r="B779" s="27" t="s">
        <v>10</v>
      </c>
      <c r="C779">
        <v>856.75</v>
      </c>
      <c r="D779">
        <v>853.6</v>
      </c>
      <c r="E779">
        <v>-0.37</v>
      </c>
    </row>
    <row r="780" spans="1:5" x14ac:dyDescent="0.3">
      <c r="A780" s="27" t="s">
        <v>3157</v>
      </c>
      <c r="B780" s="27" t="s">
        <v>11</v>
      </c>
      <c r="C780">
        <v>363.55</v>
      </c>
      <c r="D780">
        <v>362.2</v>
      </c>
      <c r="E780">
        <v>-0.37</v>
      </c>
    </row>
    <row r="781" spans="1:5" x14ac:dyDescent="0.3">
      <c r="A781" s="27" t="s">
        <v>3158</v>
      </c>
      <c r="B781" s="27" t="s">
        <v>33</v>
      </c>
      <c r="C781">
        <v>552.9</v>
      </c>
      <c r="D781">
        <v>550.85</v>
      </c>
      <c r="E781">
        <v>-0.37</v>
      </c>
    </row>
    <row r="782" spans="1:5" x14ac:dyDescent="0.3">
      <c r="A782" s="27" t="s">
        <v>3159</v>
      </c>
      <c r="B782" s="27" t="s">
        <v>11</v>
      </c>
      <c r="C782">
        <v>269</v>
      </c>
      <c r="D782">
        <v>268</v>
      </c>
      <c r="E782">
        <v>-0.37</v>
      </c>
    </row>
    <row r="783" spans="1:5" x14ac:dyDescent="0.3">
      <c r="A783" s="27" t="s">
        <v>3160</v>
      </c>
      <c r="B783" s="27" t="s">
        <v>10</v>
      </c>
      <c r="C783">
        <v>17155.400000000001</v>
      </c>
      <c r="D783">
        <v>17093.849999999999</v>
      </c>
      <c r="E783">
        <v>-0.36</v>
      </c>
    </row>
    <row r="784" spans="1:5" x14ac:dyDescent="0.3">
      <c r="A784" s="27" t="s">
        <v>3161</v>
      </c>
      <c r="B784" s="27" t="s">
        <v>11</v>
      </c>
      <c r="C784">
        <v>2.78</v>
      </c>
      <c r="D784">
        <v>2.77</v>
      </c>
      <c r="E784">
        <v>-0.36</v>
      </c>
    </row>
    <row r="785" spans="1:5" x14ac:dyDescent="0.3">
      <c r="A785" s="27" t="s">
        <v>3162</v>
      </c>
      <c r="B785" s="27" t="s">
        <v>10</v>
      </c>
      <c r="C785">
        <v>3640.95</v>
      </c>
      <c r="D785">
        <v>3628</v>
      </c>
      <c r="E785">
        <v>-0.36</v>
      </c>
    </row>
    <row r="786" spans="1:5" x14ac:dyDescent="0.3">
      <c r="A786" s="27" t="s">
        <v>3163</v>
      </c>
      <c r="B786" s="27" t="s">
        <v>328</v>
      </c>
      <c r="C786">
        <v>28.95</v>
      </c>
      <c r="D786">
        <v>28.85</v>
      </c>
      <c r="E786">
        <v>-0.35</v>
      </c>
    </row>
    <row r="787" spans="1:5" x14ac:dyDescent="0.3">
      <c r="A787" s="27" t="s">
        <v>3164</v>
      </c>
      <c r="B787" s="27" t="s">
        <v>33</v>
      </c>
      <c r="C787">
        <v>545.5</v>
      </c>
      <c r="D787">
        <v>543.6</v>
      </c>
      <c r="E787">
        <v>-0.35</v>
      </c>
    </row>
    <row r="788" spans="1:5" x14ac:dyDescent="0.3">
      <c r="A788" s="27" t="s">
        <v>3165</v>
      </c>
      <c r="B788" s="27" t="s">
        <v>11</v>
      </c>
      <c r="C788">
        <v>157.55000000000001</v>
      </c>
      <c r="D788">
        <v>157</v>
      </c>
      <c r="E788">
        <v>-0.35</v>
      </c>
    </row>
    <row r="789" spans="1:5" x14ac:dyDescent="0.3">
      <c r="A789" s="27" t="s">
        <v>1922</v>
      </c>
      <c r="B789" s="27" t="s">
        <v>11</v>
      </c>
      <c r="C789">
        <v>44.65</v>
      </c>
      <c r="D789">
        <v>44.5</v>
      </c>
      <c r="E789">
        <v>-0.34</v>
      </c>
    </row>
    <row r="790" spans="1:5" x14ac:dyDescent="0.3">
      <c r="A790" s="27" t="s">
        <v>3166</v>
      </c>
      <c r="B790" s="27" t="s">
        <v>10</v>
      </c>
      <c r="C790">
        <v>633.9</v>
      </c>
      <c r="D790">
        <v>631.75</v>
      </c>
      <c r="E790">
        <v>-0.34</v>
      </c>
    </row>
    <row r="791" spans="1:5" x14ac:dyDescent="0.3">
      <c r="A791" s="27" t="s">
        <v>3167</v>
      </c>
      <c r="B791" s="27" t="s">
        <v>33</v>
      </c>
      <c r="C791">
        <v>76</v>
      </c>
      <c r="D791">
        <v>75.75</v>
      </c>
      <c r="E791">
        <v>-0.33</v>
      </c>
    </row>
    <row r="792" spans="1:5" x14ac:dyDescent="0.3">
      <c r="A792" s="27" t="s">
        <v>3168</v>
      </c>
      <c r="B792" s="27" t="s">
        <v>10</v>
      </c>
      <c r="C792">
        <v>30.3</v>
      </c>
      <c r="D792">
        <v>30.2</v>
      </c>
      <c r="E792">
        <v>-0.33</v>
      </c>
    </row>
    <row r="793" spans="1:5" x14ac:dyDescent="0.3">
      <c r="A793" s="27" t="s">
        <v>3169</v>
      </c>
      <c r="B793" s="27" t="s">
        <v>33</v>
      </c>
      <c r="C793">
        <v>31.6</v>
      </c>
      <c r="D793">
        <v>31.5</v>
      </c>
      <c r="E793">
        <v>-0.32</v>
      </c>
    </row>
    <row r="794" spans="1:5" x14ac:dyDescent="0.3">
      <c r="A794" s="27" t="s">
        <v>3170</v>
      </c>
      <c r="B794" s="27" t="s">
        <v>29</v>
      </c>
      <c r="C794">
        <v>31.4</v>
      </c>
      <c r="D794">
        <v>31.3</v>
      </c>
      <c r="E794">
        <v>-0.32</v>
      </c>
    </row>
    <row r="795" spans="1:5" x14ac:dyDescent="0.3">
      <c r="A795" s="27" t="s">
        <v>3171</v>
      </c>
      <c r="B795" s="27" t="s">
        <v>10</v>
      </c>
      <c r="C795">
        <v>5022.8</v>
      </c>
      <c r="D795">
        <v>5007.05</v>
      </c>
      <c r="E795">
        <v>-0.31</v>
      </c>
    </row>
    <row r="796" spans="1:5" x14ac:dyDescent="0.3">
      <c r="A796" s="27" t="s">
        <v>3172</v>
      </c>
      <c r="B796" s="27" t="s">
        <v>10</v>
      </c>
      <c r="C796">
        <v>622.25</v>
      </c>
      <c r="D796">
        <v>620.29999999999995</v>
      </c>
      <c r="E796">
        <v>-0.31</v>
      </c>
    </row>
    <row r="797" spans="1:5" x14ac:dyDescent="0.3">
      <c r="A797" s="27" t="s">
        <v>3173</v>
      </c>
      <c r="B797" s="27" t="s">
        <v>11</v>
      </c>
      <c r="C797">
        <v>145.1</v>
      </c>
      <c r="D797">
        <v>144.65</v>
      </c>
      <c r="E797">
        <v>-0.31</v>
      </c>
    </row>
    <row r="798" spans="1:5" x14ac:dyDescent="0.3">
      <c r="A798" s="27" t="s">
        <v>2203</v>
      </c>
      <c r="B798" s="27" t="s">
        <v>33</v>
      </c>
      <c r="C798">
        <v>66.400000000000006</v>
      </c>
      <c r="D798">
        <v>66.2</v>
      </c>
      <c r="E798">
        <v>-0.3</v>
      </c>
    </row>
    <row r="799" spans="1:5" x14ac:dyDescent="0.3">
      <c r="A799" s="27" t="s">
        <v>3174</v>
      </c>
      <c r="B799" s="27" t="s">
        <v>33</v>
      </c>
      <c r="C799">
        <v>67.05</v>
      </c>
      <c r="D799">
        <v>66.849999999999994</v>
      </c>
      <c r="E799">
        <v>-0.3</v>
      </c>
    </row>
    <row r="800" spans="1:5" x14ac:dyDescent="0.3">
      <c r="A800" s="27" t="s">
        <v>3175</v>
      </c>
      <c r="B800" s="27" t="s">
        <v>11</v>
      </c>
      <c r="C800">
        <v>236.75</v>
      </c>
      <c r="D800">
        <v>236.05</v>
      </c>
      <c r="E800">
        <v>-0.3</v>
      </c>
    </row>
    <row r="801" spans="1:5" x14ac:dyDescent="0.3">
      <c r="A801" s="27" t="s">
        <v>3176</v>
      </c>
      <c r="B801" s="27" t="s">
        <v>10</v>
      </c>
      <c r="C801">
        <v>284.14999999999998</v>
      </c>
      <c r="D801">
        <v>283.3</v>
      </c>
      <c r="E801">
        <v>-0.3</v>
      </c>
    </row>
    <row r="802" spans="1:5" x14ac:dyDescent="0.3">
      <c r="A802" s="27" t="s">
        <v>3177</v>
      </c>
      <c r="B802" s="27" t="s">
        <v>10</v>
      </c>
      <c r="C802">
        <v>478.65</v>
      </c>
      <c r="D802">
        <v>477.2</v>
      </c>
      <c r="E802">
        <v>-0.3</v>
      </c>
    </row>
    <row r="803" spans="1:5" x14ac:dyDescent="0.3">
      <c r="A803" s="27" t="s">
        <v>3178</v>
      </c>
      <c r="B803" s="27" t="s">
        <v>10</v>
      </c>
      <c r="C803">
        <v>1888.65</v>
      </c>
      <c r="D803">
        <v>1883.15</v>
      </c>
      <c r="E803">
        <v>-0.28999999999999998</v>
      </c>
    </row>
    <row r="804" spans="1:5" x14ac:dyDescent="0.3">
      <c r="A804" s="27" t="s">
        <v>3179</v>
      </c>
      <c r="B804" s="27" t="s">
        <v>22</v>
      </c>
      <c r="C804">
        <v>17.350000000000001</v>
      </c>
      <c r="D804">
        <v>17.3</v>
      </c>
      <c r="E804">
        <v>-0.28999999999999998</v>
      </c>
    </row>
    <row r="805" spans="1:5" x14ac:dyDescent="0.3">
      <c r="A805" s="27" t="s">
        <v>3180</v>
      </c>
      <c r="B805" s="27" t="s">
        <v>11</v>
      </c>
      <c r="C805">
        <v>35.6</v>
      </c>
      <c r="D805">
        <v>35.5</v>
      </c>
      <c r="E805">
        <v>-0.28000000000000003</v>
      </c>
    </row>
    <row r="806" spans="1:5" x14ac:dyDescent="0.3">
      <c r="A806" s="27" t="s">
        <v>3181</v>
      </c>
      <c r="B806" s="27" t="s">
        <v>10</v>
      </c>
      <c r="C806">
        <v>158.44999999999999</v>
      </c>
      <c r="D806">
        <v>158</v>
      </c>
      <c r="E806">
        <v>-0.28000000000000003</v>
      </c>
    </row>
    <row r="807" spans="1:5" x14ac:dyDescent="0.3">
      <c r="A807" s="27" t="s">
        <v>3182</v>
      </c>
      <c r="B807" s="27" t="s">
        <v>10</v>
      </c>
      <c r="C807">
        <v>1293.0999999999999</v>
      </c>
      <c r="D807">
        <v>1289.6500000000001</v>
      </c>
      <c r="E807">
        <v>-0.27</v>
      </c>
    </row>
    <row r="808" spans="1:5" x14ac:dyDescent="0.3">
      <c r="A808" s="27" t="s">
        <v>3183</v>
      </c>
      <c r="B808" s="27" t="s">
        <v>11</v>
      </c>
      <c r="C808">
        <v>146.5</v>
      </c>
      <c r="D808">
        <v>146.1</v>
      </c>
      <c r="E808">
        <v>-0.27</v>
      </c>
    </row>
    <row r="809" spans="1:5" x14ac:dyDescent="0.3">
      <c r="A809" s="27" t="s">
        <v>2243</v>
      </c>
      <c r="B809" s="27" t="s">
        <v>33</v>
      </c>
      <c r="C809">
        <v>209.1</v>
      </c>
      <c r="D809">
        <v>208.55</v>
      </c>
      <c r="E809">
        <v>-0.26</v>
      </c>
    </row>
    <row r="810" spans="1:5" x14ac:dyDescent="0.3">
      <c r="A810" s="27" t="s">
        <v>3184</v>
      </c>
      <c r="B810" s="27" t="s">
        <v>10</v>
      </c>
      <c r="C810">
        <v>366</v>
      </c>
      <c r="D810">
        <v>365.05</v>
      </c>
      <c r="E810">
        <v>-0.26</v>
      </c>
    </row>
    <row r="811" spans="1:5" x14ac:dyDescent="0.3">
      <c r="A811" s="27" t="s">
        <v>3185</v>
      </c>
      <c r="B811" s="27" t="s">
        <v>10</v>
      </c>
      <c r="C811">
        <v>58.2</v>
      </c>
      <c r="D811">
        <v>58.05</v>
      </c>
      <c r="E811">
        <v>-0.26</v>
      </c>
    </row>
    <row r="812" spans="1:5" x14ac:dyDescent="0.3">
      <c r="A812" s="27" t="s">
        <v>3186</v>
      </c>
      <c r="B812" s="27" t="s">
        <v>33</v>
      </c>
      <c r="C812">
        <v>40.4</v>
      </c>
      <c r="D812">
        <v>40.299999999999997</v>
      </c>
      <c r="E812">
        <v>-0.25</v>
      </c>
    </row>
    <row r="813" spans="1:5" x14ac:dyDescent="0.3">
      <c r="A813" s="27" t="s">
        <v>3187</v>
      </c>
      <c r="B813" s="27" t="s">
        <v>33</v>
      </c>
      <c r="C813">
        <v>19.75</v>
      </c>
      <c r="D813">
        <v>19.7</v>
      </c>
      <c r="E813">
        <v>-0.25</v>
      </c>
    </row>
    <row r="814" spans="1:5" x14ac:dyDescent="0.3">
      <c r="A814" s="27" t="s">
        <v>3188</v>
      </c>
      <c r="B814" s="27" t="s">
        <v>10</v>
      </c>
      <c r="C814">
        <v>1286.0999999999999</v>
      </c>
      <c r="D814">
        <v>1282.9000000000001</v>
      </c>
      <c r="E814">
        <v>-0.25</v>
      </c>
    </row>
    <row r="815" spans="1:5" x14ac:dyDescent="0.3">
      <c r="A815" s="27" t="s">
        <v>3189</v>
      </c>
      <c r="B815" s="27" t="s">
        <v>10</v>
      </c>
      <c r="C815">
        <v>357.2</v>
      </c>
      <c r="D815">
        <v>356.3</v>
      </c>
      <c r="E815">
        <v>-0.25</v>
      </c>
    </row>
    <row r="816" spans="1:5" x14ac:dyDescent="0.3">
      <c r="A816" s="27" t="s">
        <v>3190</v>
      </c>
      <c r="B816" s="27" t="s">
        <v>10</v>
      </c>
      <c r="C816">
        <v>1609.35</v>
      </c>
      <c r="D816">
        <v>1605.55</v>
      </c>
      <c r="E816">
        <v>-0.24</v>
      </c>
    </row>
    <row r="817" spans="1:5" x14ac:dyDescent="0.3">
      <c r="A817" s="27" t="s">
        <v>3191</v>
      </c>
      <c r="B817" s="27" t="s">
        <v>10</v>
      </c>
      <c r="C817">
        <v>271.64999999999998</v>
      </c>
      <c r="D817">
        <v>271</v>
      </c>
      <c r="E817">
        <v>-0.24</v>
      </c>
    </row>
    <row r="818" spans="1:5" x14ac:dyDescent="0.3">
      <c r="A818" s="27" t="s">
        <v>3192</v>
      </c>
      <c r="B818" s="27" t="s">
        <v>11</v>
      </c>
      <c r="C818">
        <v>12.64</v>
      </c>
      <c r="D818">
        <v>12.61</v>
      </c>
      <c r="E818">
        <v>-0.24</v>
      </c>
    </row>
    <row r="819" spans="1:5" x14ac:dyDescent="0.3">
      <c r="A819" s="27" t="s">
        <v>2282</v>
      </c>
      <c r="B819" s="27" t="s">
        <v>10</v>
      </c>
      <c r="C819">
        <v>62</v>
      </c>
      <c r="D819">
        <v>61.85</v>
      </c>
      <c r="E819">
        <v>-0.24</v>
      </c>
    </row>
    <row r="820" spans="1:5" x14ac:dyDescent="0.3">
      <c r="A820" s="27" t="s">
        <v>1090</v>
      </c>
      <c r="B820" s="27" t="s">
        <v>33</v>
      </c>
      <c r="C820">
        <v>21</v>
      </c>
      <c r="D820">
        <v>20.95</v>
      </c>
      <c r="E820">
        <v>-0.24</v>
      </c>
    </row>
    <row r="821" spans="1:5" x14ac:dyDescent="0.3">
      <c r="A821" s="27" t="s">
        <v>3193</v>
      </c>
      <c r="B821" s="27" t="s">
        <v>10</v>
      </c>
      <c r="C821">
        <v>1016.05</v>
      </c>
      <c r="D821">
        <v>1013.6</v>
      </c>
      <c r="E821">
        <v>-0.24</v>
      </c>
    </row>
    <row r="822" spans="1:5" x14ac:dyDescent="0.3">
      <c r="A822" s="27" t="s">
        <v>3194</v>
      </c>
      <c r="B822" s="27" t="s">
        <v>33</v>
      </c>
      <c r="C822">
        <v>83.1</v>
      </c>
      <c r="D822">
        <v>82.9</v>
      </c>
      <c r="E822">
        <v>-0.24</v>
      </c>
    </row>
    <row r="823" spans="1:5" x14ac:dyDescent="0.3">
      <c r="A823" s="27" t="s">
        <v>3195</v>
      </c>
      <c r="B823" s="27" t="s">
        <v>11</v>
      </c>
      <c r="C823">
        <v>20.65</v>
      </c>
      <c r="D823">
        <v>20.6</v>
      </c>
      <c r="E823">
        <v>-0.24</v>
      </c>
    </row>
    <row r="824" spans="1:5" x14ac:dyDescent="0.3">
      <c r="A824" s="27" t="s">
        <v>3196</v>
      </c>
      <c r="B824" s="27" t="s">
        <v>10</v>
      </c>
      <c r="C824">
        <v>169.4</v>
      </c>
      <c r="D824">
        <v>169</v>
      </c>
      <c r="E824">
        <v>-0.24</v>
      </c>
    </row>
    <row r="825" spans="1:5" x14ac:dyDescent="0.3">
      <c r="A825" s="27" t="s">
        <v>2350</v>
      </c>
      <c r="B825" s="27" t="s">
        <v>10</v>
      </c>
      <c r="C825">
        <v>16547.5</v>
      </c>
      <c r="D825">
        <v>16510</v>
      </c>
      <c r="E825">
        <v>-0.23</v>
      </c>
    </row>
    <row r="826" spans="1:5" x14ac:dyDescent="0.3">
      <c r="A826" s="27" t="s">
        <v>3197</v>
      </c>
      <c r="B826" s="27" t="s">
        <v>33</v>
      </c>
      <c r="C826">
        <v>386.9</v>
      </c>
      <c r="D826">
        <v>386</v>
      </c>
      <c r="E826">
        <v>-0.23</v>
      </c>
    </row>
    <row r="827" spans="1:5" x14ac:dyDescent="0.3">
      <c r="A827" s="27" t="s">
        <v>3198</v>
      </c>
      <c r="B827" s="27" t="s">
        <v>11</v>
      </c>
      <c r="C827">
        <v>43.6</v>
      </c>
      <c r="D827">
        <v>43.5</v>
      </c>
      <c r="E827">
        <v>-0.23</v>
      </c>
    </row>
    <row r="828" spans="1:5" x14ac:dyDescent="0.3">
      <c r="A828" s="27" t="s">
        <v>3199</v>
      </c>
      <c r="B828" s="27" t="s">
        <v>11</v>
      </c>
      <c r="C828">
        <v>8.82</v>
      </c>
      <c r="D828">
        <v>8.8000000000000007</v>
      </c>
      <c r="E828">
        <v>-0.23</v>
      </c>
    </row>
    <row r="829" spans="1:5" x14ac:dyDescent="0.3">
      <c r="A829" s="27" t="s">
        <v>3200</v>
      </c>
      <c r="B829" s="27" t="s">
        <v>33</v>
      </c>
      <c r="C829">
        <v>42.65</v>
      </c>
      <c r="D829">
        <v>42.55</v>
      </c>
      <c r="E829">
        <v>-0.23</v>
      </c>
    </row>
    <row r="830" spans="1:5" x14ac:dyDescent="0.3">
      <c r="A830" s="27" t="s">
        <v>3201</v>
      </c>
      <c r="B830" s="27" t="s">
        <v>11</v>
      </c>
      <c r="C830">
        <v>349.9</v>
      </c>
      <c r="D830">
        <v>349.1</v>
      </c>
      <c r="E830">
        <v>-0.23</v>
      </c>
    </row>
    <row r="831" spans="1:5" x14ac:dyDescent="0.3">
      <c r="A831" s="27" t="s">
        <v>3202</v>
      </c>
      <c r="B831" s="27" t="s">
        <v>11</v>
      </c>
      <c r="C831">
        <v>21.35</v>
      </c>
      <c r="D831">
        <v>21.3</v>
      </c>
      <c r="E831">
        <v>-0.23</v>
      </c>
    </row>
    <row r="832" spans="1:5" x14ac:dyDescent="0.3">
      <c r="A832" s="27" t="s">
        <v>3203</v>
      </c>
      <c r="B832" s="27" t="s">
        <v>33</v>
      </c>
      <c r="C832">
        <v>4.29</v>
      </c>
      <c r="D832">
        <v>4.28</v>
      </c>
      <c r="E832">
        <v>-0.23</v>
      </c>
    </row>
    <row r="833" spans="1:5" x14ac:dyDescent="0.3">
      <c r="A833" s="27" t="s">
        <v>3204</v>
      </c>
      <c r="B833" s="27" t="s">
        <v>328</v>
      </c>
      <c r="C833">
        <v>42.6</v>
      </c>
      <c r="D833">
        <v>42.5</v>
      </c>
      <c r="E833">
        <v>-0.23</v>
      </c>
    </row>
    <row r="834" spans="1:5" x14ac:dyDescent="0.3">
      <c r="A834" s="27" t="s">
        <v>3205</v>
      </c>
      <c r="B834" s="27" t="s">
        <v>33</v>
      </c>
      <c r="C834">
        <v>4.34</v>
      </c>
      <c r="D834">
        <v>4.33</v>
      </c>
      <c r="E834">
        <v>-0.23</v>
      </c>
    </row>
    <row r="835" spans="1:5" x14ac:dyDescent="0.3">
      <c r="A835" s="27" t="s">
        <v>3206</v>
      </c>
      <c r="B835" s="27" t="s">
        <v>29</v>
      </c>
      <c r="C835">
        <v>162.35</v>
      </c>
      <c r="D835">
        <v>162</v>
      </c>
      <c r="E835">
        <v>-0.22</v>
      </c>
    </row>
    <row r="836" spans="1:5" x14ac:dyDescent="0.3">
      <c r="A836" s="27" t="s">
        <v>3207</v>
      </c>
      <c r="B836" s="27" t="s">
        <v>33</v>
      </c>
      <c r="C836">
        <v>22.55</v>
      </c>
      <c r="D836">
        <v>22.5</v>
      </c>
      <c r="E836">
        <v>-0.22</v>
      </c>
    </row>
    <row r="837" spans="1:5" x14ac:dyDescent="0.3">
      <c r="A837" s="27" t="s">
        <v>3208</v>
      </c>
      <c r="B837" s="27" t="s">
        <v>11</v>
      </c>
      <c r="C837">
        <v>23.15</v>
      </c>
      <c r="D837">
        <v>23.1</v>
      </c>
      <c r="E837">
        <v>-0.22</v>
      </c>
    </row>
    <row r="838" spans="1:5" x14ac:dyDescent="0.3">
      <c r="A838" s="27" t="s">
        <v>3209</v>
      </c>
      <c r="B838" s="27" t="s">
        <v>11</v>
      </c>
      <c r="C838">
        <v>46.35</v>
      </c>
      <c r="D838">
        <v>46.25</v>
      </c>
      <c r="E838">
        <v>-0.22</v>
      </c>
    </row>
    <row r="839" spans="1:5" x14ac:dyDescent="0.3">
      <c r="A839" s="27" t="s">
        <v>3210</v>
      </c>
      <c r="B839" s="27" t="s">
        <v>10</v>
      </c>
      <c r="C839">
        <v>3629.55</v>
      </c>
      <c r="D839">
        <v>3621.55</v>
      </c>
      <c r="E839">
        <v>-0.22</v>
      </c>
    </row>
    <row r="840" spans="1:5" x14ac:dyDescent="0.3">
      <c r="A840" s="27" t="s">
        <v>2358</v>
      </c>
      <c r="B840" s="27" t="s">
        <v>10</v>
      </c>
      <c r="C840">
        <v>536.65</v>
      </c>
      <c r="D840">
        <v>535.5</v>
      </c>
      <c r="E840">
        <v>-0.21</v>
      </c>
    </row>
    <row r="841" spans="1:5" x14ac:dyDescent="0.3">
      <c r="A841" s="27" t="s">
        <v>3211</v>
      </c>
      <c r="B841" s="27" t="s">
        <v>10</v>
      </c>
      <c r="C841">
        <v>144.1</v>
      </c>
      <c r="D841">
        <v>143.80000000000001</v>
      </c>
      <c r="E841">
        <v>-0.21</v>
      </c>
    </row>
    <row r="842" spans="1:5" x14ac:dyDescent="0.3">
      <c r="A842" s="27" t="s">
        <v>3212</v>
      </c>
      <c r="B842" s="27" t="s">
        <v>11</v>
      </c>
      <c r="C842">
        <v>144.30000000000001</v>
      </c>
      <c r="D842">
        <v>144</v>
      </c>
      <c r="E842">
        <v>-0.21</v>
      </c>
    </row>
    <row r="843" spans="1:5" x14ac:dyDescent="0.3">
      <c r="A843" s="27" t="s">
        <v>3213</v>
      </c>
      <c r="B843" s="27" t="s">
        <v>328</v>
      </c>
      <c r="C843">
        <v>796.7</v>
      </c>
      <c r="D843">
        <v>795</v>
      </c>
      <c r="E843">
        <v>-0.21</v>
      </c>
    </row>
    <row r="844" spans="1:5" x14ac:dyDescent="0.3">
      <c r="A844" s="27" t="s">
        <v>3214</v>
      </c>
      <c r="B844" s="27" t="s">
        <v>10</v>
      </c>
      <c r="C844">
        <v>750.55</v>
      </c>
      <c r="D844">
        <v>749</v>
      </c>
      <c r="E844">
        <v>-0.21</v>
      </c>
    </row>
    <row r="845" spans="1:5" x14ac:dyDescent="0.3">
      <c r="A845" s="27" t="s">
        <v>3215</v>
      </c>
      <c r="B845" s="27" t="s">
        <v>33</v>
      </c>
      <c r="C845">
        <v>23.75</v>
      </c>
      <c r="D845">
        <v>23.7</v>
      </c>
      <c r="E845">
        <v>-0.21</v>
      </c>
    </row>
    <row r="846" spans="1:5" x14ac:dyDescent="0.3">
      <c r="A846" s="27" t="s">
        <v>3216</v>
      </c>
      <c r="B846" s="27" t="s">
        <v>11</v>
      </c>
      <c r="C846">
        <v>47.1</v>
      </c>
      <c r="D846">
        <v>47</v>
      </c>
      <c r="E846">
        <v>-0.21</v>
      </c>
    </row>
    <row r="847" spans="1:5" x14ac:dyDescent="0.3">
      <c r="A847" s="27" t="s">
        <v>3217</v>
      </c>
      <c r="B847" s="27" t="s">
        <v>29</v>
      </c>
      <c r="C847">
        <v>23.4</v>
      </c>
      <c r="D847">
        <v>23.35</v>
      </c>
      <c r="E847">
        <v>-0.21</v>
      </c>
    </row>
    <row r="848" spans="1:5" x14ac:dyDescent="0.3">
      <c r="A848" s="27" t="s">
        <v>3218</v>
      </c>
      <c r="B848" s="27" t="s">
        <v>10</v>
      </c>
      <c r="C848">
        <v>866.05</v>
      </c>
      <c r="D848">
        <v>864.35</v>
      </c>
      <c r="E848">
        <v>-0.2</v>
      </c>
    </row>
    <row r="849" spans="1:5" x14ac:dyDescent="0.3">
      <c r="A849" s="27" t="s">
        <v>3219</v>
      </c>
      <c r="B849" s="27" t="s">
        <v>33</v>
      </c>
      <c r="C849">
        <v>10.02</v>
      </c>
      <c r="D849">
        <v>10</v>
      </c>
      <c r="E849">
        <v>-0.2</v>
      </c>
    </row>
    <row r="850" spans="1:5" x14ac:dyDescent="0.3">
      <c r="A850" s="27" t="s">
        <v>3220</v>
      </c>
      <c r="B850" s="27" t="s">
        <v>10</v>
      </c>
      <c r="C850">
        <v>1284.75</v>
      </c>
      <c r="D850">
        <v>1282.1500000000001</v>
      </c>
      <c r="E850">
        <v>-0.2</v>
      </c>
    </row>
    <row r="851" spans="1:5" x14ac:dyDescent="0.3">
      <c r="A851" s="27" t="s">
        <v>2270</v>
      </c>
      <c r="B851" s="27" t="s">
        <v>33</v>
      </c>
      <c r="C851">
        <v>77.55</v>
      </c>
      <c r="D851">
        <v>77.400000000000006</v>
      </c>
      <c r="E851">
        <v>-0.19</v>
      </c>
    </row>
    <row r="852" spans="1:5" x14ac:dyDescent="0.3">
      <c r="A852" s="27" t="s">
        <v>3221</v>
      </c>
      <c r="B852" s="27" t="s">
        <v>328</v>
      </c>
      <c r="C852">
        <v>5.27</v>
      </c>
      <c r="D852">
        <v>5.26</v>
      </c>
      <c r="E852">
        <v>-0.19</v>
      </c>
    </row>
    <row r="853" spans="1:5" x14ac:dyDescent="0.3">
      <c r="A853" s="27" t="s">
        <v>3222</v>
      </c>
      <c r="B853" s="27" t="s">
        <v>10</v>
      </c>
      <c r="C853">
        <v>1930.3</v>
      </c>
      <c r="D853">
        <v>1926.6</v>
      </c>
      <c r="E853">
        <v>-0.19</v>
      </c>
    </row>
    <row r="854" spans="1:5" x14ac:dyDescent="0.3">
      <c r="A854" s="27" t="s">
        <v>3223</v>
      </c>
      <c r="B854" s="27" t="s">
        <v>11</v>
      </c>
      <c r="C854">
        <v>5.39</v>
      </c>
      <c r="D854">
        <v>5.38</v>
      </c>
      <c r="E854">
        <v>-0.19</v>
      </c>
    </row>
    <row r="855" spans="1:5" x14ac:dyDescent="0.3">
      <c r="A855" s="27" t="s">
        <v>3224</v>
      </c>
      <c r="B855" s="27" t="s">
        <v>29</v>
      </c>
      <c r="C855">
        <v>5.22</v>
      </c>
      <c r="D855">
        <v>5.21</v>
      </c>
      <c r="E855">
        <v>-0.19</v>
      </c>
    </row>
    <row r="856" spans="1:5" x14ac:dyDescent="0.3">
      <c r="A856" s="27" t="s">
        <v>3225</v>
      </c>
      <c r="B856" s="27" t="s">
        <v>33</v>
      </c>
      <c r="C856">
        <v>5.29</v>
      </c>
      <c r="D856">
        <v>5.28</v>
      </c>
      <c r="E856">
        <v>-0.19</v>
      </c>
    </row>
    <row r="857" spans="1:5" x14ac:dyDescent="0.3">
      <c r="A857" s="27" t="s">
        <v>3226</v>
      </c>
      <c r="B857" s="27" t="s">
        <v>11</v>
      </c>
      <c r="C857">
        <v>432.35</v>
      </c>
      <c r="D857">
        <v>431.55</v>
      </c>
      <c r="E857">
        <v>-0.19</v>
      </c>
    </row>
    <row r="858" spans="1:5" x14ac:dyDescent="0.3">
      <c r="A858" s="27" t="s">
        <v>3227</v>
      </c>
      <c r="B858" s="27" t="s">
        <v>11</v>
      </c>
      <c r="C858">
        <v>107.7</v>
      </c>
      <c r="D858">
        <v>107.5</v>
      </c>
      <c r="E858">
        <v>-0.19</v>
      </c>
    </row>
    <row r="859" spans="1:5" x14ac:dyDescent="0.3">
      <c r="A859" s="27" t="s">
        <v>3228</v>
      </c>
      <c r="B859" s="27" t="s">
        <v>29</v>
      </c>
      <c r="C859">
        <v>54.45</v>
      </c>
      <c r="D859">
        <v>54.35</v>
      </c>
      <c r="E859">
        <v>-0.18</v>
      </c>
    </row>
    <row r="860" spans="1:5" x14ac:dyDescent="0.3">
      <c r="A860" s="27" t="s">
        <v>3229</v>
      </c>
      <c r="B860" s="27" t="s">
        <v>11</v>
      </c>
      <c r="C860">
        <v>85.45</v>
      </c>
      <c r="D860">
        <v>85.3</v>
      </c>
      <c r="E860">
        <v>-0.18</v>
      </c>
    </row>
    <row r="861" spans="1:5" x14ac:dyDescent="0.3">
      <c r="A861" s="27" t="s">
        <v>3230</v>
      </c>
      <c r="B861" s="27" t="s">
        <v>33</v>
      </c>
      <c r="C861">
        <v>12.11</v>
      </c>
      <c r="D861">
        <v>12.09</v>
      </c>
      <c r="E861">
        <v>-0.17</v>
      </c>
    </row>
    <row r="862" spans="1:5" x14ac:dyDescent="0.3">
      <c r="A862" s="27" t="s">
        <v>3231</v>
      </c>
      <c r="B862" s="27" t="s">
        <v>33</v>
      </c>
      <c r="C862">
        <v>28.95</v>
      </c>
      <c r="D862">
        <v>28.9</v>
      </c>
      <c r="E862">
        <v>-0.17</v>
      </c>
    </row>
    <row r="863" spans="1:5" x14ac:dyDescent="0.3">
      <c r="A863" s="27" t="s">
        <v>3232</v>
      </c>
      <c r="B863" s="27" t="s">
        <v>33</v>
      </c>
      <c r="C863">
        <v>145.25</v>
      </c>
      <c r="D863">
        <v>145</v>
      </c>
      <c r="E863">
        <v>-0.17</v>
      </c>
    </row>
    <row r="864" spans="1:5" x14ac:dyDescent="0.3">
      <c r="A864" s="27" t="s">
        <v>3233</v>
      </c>
      <c r="B864" s="27" t="s">
        <v>33</v>
      </c>
      <c r="C864">
        <v>9665.5</v>
      </c>
      <c r="D864">
        <v>9650</v>
      </c>
      <c r="E864">
        <v>-0.16</v>
      </c>
    </row>
    <row r="865" spans="1:5" x14ac:dyDescent="0.3">
      <c r="A865" s="27" t="s">
        <v>3234</v>
      </c>
      <c r="B865" s="27" t="s">
        <v>328</v>
      </c>
      <c r="C865">
        <v>2163.0500000000002</v>
      </c>
      <c r="D865">
        <v>2159.5</v>
      </c>
      <c r="E865">
        <v>-0.16</v>
      </c>
    </row>
    <row r="866" spans="1:5" x14ac:dyDescent="0.3">
      <c r="A866" s="27" t="s">
        <v>3235</v>
      </c>
      <c r="B866" s="27" t="s">
        <v>10</v>
      </c>
      <c r="C866">
        <v>100.8</v>
      </c>
      <c r="D866">
        <v>100.65</v>
      </c>
      <c r="E866">
        <v>-0.15</v>
      </c>
    </row>
    <row r="867" spans="1:5" x14ac:dyDescent="0.3">
      <c r="A867" s="27" t="s">
        <v>3236</v>
      </c>
      <c r="B867" s="27" t="s">
        <v>10</v>
      </c>
      <c r="C867">
        <v>206.4</v>
      </c>
      <c r="D867">
        <v>206.1</v>
      </c>
      <c r="E867">
        <v>-0.15</v>
      </c>
    </row>
    <row r="868" spans="1:5" x14ac:dyDescent="0.3">
      <c r="A868" s="27" t="s">
        <v>3237</v>
      </c>
      <c r="B868" s="27" t="s">
        <v>11</v>
      </c>
      <c r="C868">
        <v>129.30000000000001</v>
      </c>
      <c r="D868">
        <v>129.1</v>
      </c>
      <c r="E868">
        <v>-0.15</v>
      </c>
    </row>
    <row r="869" spans="1:5" x14ac:dyDescent="0.3">
      <c r="A869" s="27" t="s">
        <v>3238</v>
      </c>
      <c r="B869" s="27" t="s">
        <v>11</v>
      </c>
      <c r="C869">
        <v>65.3</v>
      </c>
      <c r="D869">
        <v>65.2</v>
      </c>
      <c r="E869">
        <v>-0.15</v>
      </c>
    </row>
    <row r="870" spans="1:5" x14ac:dyDescent="0.3">
      <c r="A870" s="27" t="s">
        <v>3239</v>
      </c>
      <c r="B870" s="27" t="s">
        <v>328</v>
      </c>
      <c r="C870">
        <v>6.51</v>
      </c>
      <c r="D870">
        <v>6.5</v>
      </c>
      <c r="E870">
        <v>-0.15</v>
      </c>
    </row>
    <row r="871" spans="1:5" x14ac:dyDescent="0.3">
      <c r="A871" s="27" t="s">
        <v>3240</v>
      </c>
      <c r="B871" s="27" t="s">
        <v>11</v>
      </c>
      <c r="C871">
        <v>200.1</v>
      </c>
      <c r="D871">
        <v>199.8</v>
      </c>
      <c r="E871">
        <v>-0.15</v>
      </c>
    </row>
    <row r="872" spans="1:5" x14ac:dyDescent="0.3">
      <c r="A872" s="27" t="s">
        <v>3241</v>
      </c>
      <c r="B872" s="27" t="s">
        <v>33</v>
      </c>
      <c r="C872">
        <v>68</v>
      </c>
      <c r="D872">
        <v>67.900000000000006</v>
      </c>
      <c r="E872">
        <v>-0.15</v>
      </c>
    </row>
    <row r="873" spans="1:5" x14ac:dyDescent="0.3">
      <c r="A873" s="27" t="s">
        <v>3242</v>
      </c>
      <c r="B873" s="27" t="s">
        <v>29</v>
      </c>
      <c r="C873">
        <v>13.12</v>
      </c>
      <c r="D873">
        <v>13.1</v>
      </c>
      <c r="E873">
        <v>-0.15</v>
      </c>
    </row>
    <row r="874" spans="1:5" x14ac:dyDescent="0.3">
      <c r="A874" s="27" t="s">
        <v>3243</v>
      </c>
      <c r="B874" s="27" t="s">
        <v>33</v>
      </c>
      <c r="C874">
        <v>72.8</v>
      </c>
      <c r="D874">
        <v>72.7</v>
      </c>
      <c r="E874">
        <v>-0.14000000000000001</v>
      </c>
    </row>
    <row r="875" spans="1:5" x14ac:dyDescent="0.3">
      <c r="A875" s="27" t="s">
        <v>3244</v>
      </c>
      <c r="B875" s="27" t="s">
        <v>33</v>
      </c>
      <c r="C875">
        <v>304.35000000000002</v>
      </c>
      <c r="D875">
        <v>303.95</v>
      </c>
      <c r="E875">
        <v>-0.13</v>
      </c>
    </row>
    <row r="876" spans="1:5" x14ac:dyDescent="0.3">
      <c r="A876" s="27" t="s">
        <v>2301</v>
      </c>
      <c r="B876" s="27" t="s">
        <v>10</v>
      </c>
      <c r="C876">
        <v>112.7</v>
      </c>
      <c r="D876">
        <v>112.55</v>
      </c>
      <c r="E876">
        <v>-0.13</v>
      </c>
    </row>
    <row r="877" spans="1:5" x14ac:dyDescent="0.3">
      <c r="A877" s="27" t="s">
        <v>3245</v>
      </c>
      <c r="B877" s="27" t="s">
        <v>11</v>
      </c>
      <c r="C877">
        <v>7.72</v>
      </c>
      <c r="D877">
        <v>7.71</v>
      </c>
      <c r="E877">
        <v>-0.13</v>
      </c>
    </row>
    <row r="878" spans="1:5" x14ac:dyDescent="0.3">
      <c r="A878" s="27" t="s">
        <v>2319</v>
      </c>
      <c r="B878" s="27" t="s">
        <v>11</v>
      </c>
      <c r="C878">
        <v>77.8</v>
      </c>
      <c r="D878">
        <v>77.7</v>
      </c>
      <c r="E878">
        <v>-0.13</v>
      </c>
    </row>
    <row r="879" spans="1:5" x14ac:dyDescent="0.3">
      <c r="A879" s="27" t="s">
        <v>3246</v>
      </c>
      <c r="B879" s="27" t="s">
        <v>11</v>
      </c>
      <c r="C879">
        <v>81.400000000000006</v>
      </c>
      <c r="D879">
        <v>81.3</v>
      </c>
      <c r="E879">
        <v>-0.12</v>
      </c>
    </row>
    <row r="880" spans="1:5" x14ac:dyDescent="0.3">
      <c r="A880" s="27" t="s">
        <v>3247</v>
      </c>
      <c r="B880" s="27" t="s">
        <v>11</v>
      </c>
      <c r="C880">
        <v>40.299999999999997</v>
      </c>
      <c r="D880">
        <v>40.25</v>
      </c>
      <c r="E880">
        <v>-0.12</v>
      </c>
    </row>
    <row r="881" spans="1:5" x14ac:dyDescent="0.3">
      <c r="A881" s="27" t="s">
        <v>3248</v>
      </c>
      <c r="B881" s="27" t="s">
        <v>33</v>
      </c>
      <c r="C881">
        <v>8.1999999999999993</v>
      </c>
      <c r="D881">
        <v>8.19</v>
      </c>
      <c r="E881">
        <v>-0.12</v>
      </c>
    </row>
    <row r="882" spans="1:5" x14ac:dyDescent="0.3">
      <c r="A882" s="27" t="s">
        <v>3249</v>
      </c>
      <c r="B882" s="27" t="s">
        <v>33</v>
      </c>
      <c r="C882">
        <v>8.01</v>
      </c>
      <c r="D882">
        <v>8</v>
      </c>
      <c r="E882">
        <v>-0.12</v>
      </c>
    </row>
    <row r="883" spans="1:5" x14ac:dyDescent="0.3">
      <c r="A883" s="27" t="s">
        <v>3250</v>
      </c>
      <c r="B883" s="27" t="s">
        <v>33</v>
      </c>
      <c r="C883">
        <v>243.55</v>
      </c>
      <c r="D883">
        <v>243.25</v>
      </c>
      <c r="E883">
        <v>-0.12</v>
      </c>
    </row>
    <row r="884" spans="1:5" x14ac:dyDescent="0.3">
      <c r="A884" s="27" t="s">
        <v>3251</v>
      </c>
      <c r="B884" s="27" t="s">
        <v>10</v>
      </c>
      <c r="C884">
        <v>729.05</v>
      </c>
      <c r="D884">
        <v>728.2</v>
      </c>
      <c r="E884">
        <v>-0.12</v>
      </c>
    </row>
    <row r="885" spans="1:5" x14ac:dyDescent="0.3">
      <c r="A885" s="27" t="s">
        <v>3252</v>
      </c>
      <c r="B885" s="27" t="s">
        <v>11</v>
      </c>
      <c r="C885">
        <v>42.05</v>
      </c>
      <c r="D885">
        <v>42</v>
      </c>
      <c r="E885">
        <v>-0.12</v>
      </c>
    </row>
    <row r="886" spans="1:5" x14ac:dyDescent="0.3">
      <c r="A886" s="27" t="s">
        <v>3253</v>
      </c>
      <c r="B886" s="27" t="s">
        <v>11</v>
      </c>
      <c r="C886">
        <v>88</v>
      </c>
      <c r="D886">
        <v>87.9</v>
      </c>
      <c r="E886">
        <v>-0.11</v>
      </c>
    </row>
    <row r="887" spans="1:5" x14ac:dyDescent="0.3">
      <c r="A887" s="27" t="s">
        <v>3254</v>
      </c>
      <c r="B887" s="27" t="s">
        <v>33</v>
      </c>
      <c r="C887">
        <v>45.1</v>
      </c>
      <c r="D887">
        <v>45.05</v>
      </c>
      <c r="E887">
        <v>-0.11</v>
      </c>
    </row>
    <row r="888" spans="1:5" x14ac:dyDescent="0.3">
      <c r="A888" s="27" t="s">
        <v>3255</v>
      </c>
      <c r="B888" s="27" t="s">
        <v>11</v>
      </c>
      <c r="C888">
        <v>9.51</v>
      </c>
      <c r="D888">
        <v>9.5</v>
      </c>
      <c r="E888">
        <v>-0.11</v>
      </c>
    </row>
    <row r="889" spans="1:5" x14ac:dyDescent="0.3">
      <c r="A889" s="27" t="s">
        <v>3256</v>
      </c>
      <c r="B889" s="27" t="s">
        <v>33</v>
      </c>
      <c r="C889">
        <v>9.01</v>
      </c>
      <c r="D889">
        <v>9</v>
      </c>
      <c r="E889">
        <v>-0.11</v>
      </c>
    </row>
    <row r="890" spans="1:5" x14ac:dyDescent="0.3">
      <c r="A890" s="27" t="s">
        <v>3257</v>
      </c>
      <c r="B890" s="27" t="s">
        <v>11</v>
      </c>
      <c r="C890">
        <v>9.9</v>
      </c>
      <c r="D890">
        <v>9.89</v>
      </c>
      <c r="E890">
        <v>-0.1</v>
      </c>
    </row>
    <row r="891" spans="1:5" x14ac:dyDescent="0.3">
      <c r="A891" s="27" t="s">
        <v>3258</v>
      </c>
      <c r="B891" s="27" t="s">
        <v>10</v>
      </c>
      <c r="C891">
        <v>48.55</v>
      </c>
      <c r="D891">
        <v>48.5</v>
      </c>
      <c r="E891">
        <v>-0.1</v>
      </c>
    </row>
    <row r="892" spans="1:5" x14ac:dyDescent="0.3">
      <c r="A892" s="27" t="s">
        <v>3259</v>
      </c>
      <c r="B892" s="27" t="s">
        <v>11</v>
      </c>
      <c r="C892">
        <v>10.01</v>
      </c>
      <c r="D892">
        <v>10</v>
      </c>
      <c r="E892">
        <v>-0.1</v>
      </c>
    </row>
    <row r="893" spans="1:5" x14ac:dyDescent="0.3">
      <c r="A893" s="27" t="s">
        <v>3260</v>
      </c>
      <c r="B893" s="27" t="s">
        <v>10</v>
      </c>
      <c r="C893">
        <v>478.15</v>
      </c>
      <c r="D893">
        <v>477.65</v>
      </c>
      <c r="E893">
        <v>-0.1</v>
      </c>
    </row>
    <row r="894" spans="1:5" x14ac:dyDescent="0.3">
      <c r="A894" s="27" t="s">
        <v>3261</v>
      </c>
      <c r="B894" s="27" t="s">
        <v>11</v>
      </c>
      <c r="C894">
        <v>103.35</v>
      </c>
      <c r="D894">
        <v>103.25</v>
      </c>
      <c r="E894">
        <v>-0.1</v>
      </c>
    </row>
    <row r="895" spans="1:5" x14ac:dyDescent="0.3">
      <c r="A895" s="27" t="s">
        <v>3262</v>
      </c>
      <c r="B895" s="27" t="s">
        <v>29</v>
      </c>
      <c r="C895">
        <v>53.25</v>
      </c>
      <c r="D895">
        <v>53.2</v>
      </c>
      <c r="E895">
        <v>-0.09</v>
      </c>
    </row>
    <row r="896" spans="1:5" x14ac:dyDescent="0.3">
      <c r="A896" s="27" t="s">
        <v>3263</v>
      </c>
      <c r="B896" s="27" t="s">
        <v>10</v>
      </c>
      <c r="C896">
        <v>338.05</v>
      </c>
      <c r="D896">
        <v>337.75</v>
      </c>
      <c r="E896">
        <v>-0.09</v>
      </c>
    </row>
    <row r="897" spans="1:5" x14ac:dyDescent="0.3">
      <c r="A897" s="27" t="s">
        <v>3264</v>
      </c>
      <c r="B897" s="27" t="s">
        <v>10</v>
      </c>
      <c r="C897">
        <v>54.8</v>
      </c>
      <c r="D897">
        <v>54.75</v>
      </c>
      <c r="E897">
        <v>-0.09</v>
      </c>
    </row>
    <row r="898" spans="1:5" x14ac:dyDescent="0.3">
      <c r="A898" s="27" t="s">
        <v>3265</v>
      </c>
      <c r="B898" s="27" t="s">
        <v>11</v>
      </c>
      <c r="C898">
        <v>157.94999999999999</v>
      </c>
      <c r="D898">
        <v>157.80000000000001</v>
      </c>
      <c r="E898">
        <v>-0.09</v>
      </c>
    </row>
    <row r="899" spans="1:5" x14ac:dyDescent="0.3">
      <c r="A899" s="27" t="s">
        <v>3266</v>
      </c>
      <c r="B899" s="27" t="s">
        <v>328</v>
      </c>
      <c r="C899">
        <v>10.86</v>
      </c>
      <c r="D899">
        <v>10.85</v>
      </c>
      <c r="E899">
        <v>-0.09</v>
      </c>
    </row>
    <row r="900" spans="1:5" x14ac:dyDescent="0.3">
      <c r="A900" s="27" t="s">
        <v>3267</v>
      </c>
      <c r="B900" s="27" t="s">
        <v>33</v>
      </c>
      <c r="C900">
        <v>172.25</v>
      </c>
      <c r="D900">
        <v>172.1</v>
      </c>
      <c r="E900">
        <v>-0.09</v>
      </c>
    </row>
    <row r="901" spans="1:5" x14ac:dyDescent="0.3">
      <c r="A901" s="27" t="s">
        <v>3268</v>
      </c>
      <c r="B901" s="27" t="s">
        <v>10</v>
      </c>
      <c r="C901">
        <v>5674.2</v>
      </c>
      <c r="D901">
        <v>5669</v>
      </c>
      <c r="E901">
        <v>-0.09</v>
      </c>
    </row>
    <row r="902" spans="1:5" x14ac:dyDescent="0.3">
      <c r="A902" s="27" t="s">
        <v>3269</v>
      </c>
      <c r="B902" s="27" t="s">
        <v>11</v>
      </c>
      <c r="C902">
        <v>560.5</v>
      </c>
      <c r="D902">
        <v>560</v>
      </c>
      <c r="E902">
        <v>-0.09</v>
      </c>
    </row>
    <row r="903" spans="1:5" x14ac:dyDescent="0.3">
      <c r="A903" s="27" t="s">
        <v>3270</v>
      </c>
      <c r="B903" s="27" t="s">
        <v>10</v>
      </c>
      <c r="C903">
        <v>538</v>
      </c>
      <c r="D903">
        <v>537.54999999999995</v>
      </c>
      <c r="E903">
        <v>-0.08</v>
      </c>
    </row>
    <row r="904" spans="1:5" x14ac:dyDescent="0.3">
      <c r="A904" s="27" t="s">
        <v>3271</v>
      </c>
      <c r="B904" s="27" t="s">
        <v>328</v>
      </c>
      <c r="C904">
        <v>59.25</v>
      </c>
      <c r="D904">
        <v>59.2</v>
      </c>
      <c r="E904">
        <v>-0.08</v>
      </c>
    </row>
    <row r="905" spans="1:5" x14ac:dyDescent="0.3">
      <c r="A905" s="27" t="s">
        <v>3272</v>
      </c>
      <c r="B905" s="27" t="s">
        <v>33</v>
      </c>
      <c r="C905">
        <v>59.3</v>
      </c>
      <c r="D905">
        <v>59.25</v>
      </c>
      <c r="E905">
        <v>-0.08</v>
      </c>
    </row>
    <row r="906" spans="1:5" x14ac:dyDescent="0.3">
      <c r="A906" s="27" t="s">
        <v>3273</v>
      </c>
      <c r="B906" s="27" t="s">
        <v>10</v>
      </c>
      <c r="C906">
        <v>3199.1</v>
      </c>
      <c r="D906">
        <v>3197</v>
      </c>
      <c r="E906">
        <v>-7.0000000000000007E-2</v>
      </c>
    </row>
    <row r="907" spans="1:5" x14ac:dyDescent="0.3">
      <c r="A907" s="27" t="s">
        <v>3274</v>
      </c>
      <c r="B907" s="27" t="s">
        <v>33</v>
      </c>
      <c r="C907">
        <v>67</v>
      </c>
      <c r="D907">
        <v>66.95</v>
      </c>
      <c r="E907">
        <v>-7.0000000000000007E-2</v>
      </c>
    </row>
    <row r="908" spans="1:5" x14ac:dyDescent="0.3">
      <c r="A908" s="27" t="s">
        <v>3275</v>
      </c>
      <c r="B908" s="27" t="s">
        <v>328</v>
      </c>
      <c r="C908">
        <v>13.89</v>
      </c>
      <c r="D908">
        <v>13.88</v>
      </c>
      <c r="E908">
        <v>-7.0000000000000007E-2</v>
      </c>
    </row>
    <row r="909" spans="1:5" x14ac:dyDescent="0.3">
      <c r="A909" s="27" t="s">
        <v>3276</v>
      </c>
      <c r="B909" s="27" t="s">
        <v>10</v>
      </c>
      <c r="C909">
        <v>721.85</v>
      </c>
      <c r="D909">
        <v>721.4</v>
      </c>
      <c r="E909">
        <v>-0.06</v>
      </c>
    </row>
    <row r="910" spans="1:5" x14ac:dyDescent="0.3">
      <c r="A910" s="27" t="s">
        <v>3277</v>
      </c>
      <c r="B910" s="27" t="s">
        <v>10</v>
      </c>
      <c r="C910">
        <v>697.35</v>
      </c>
      <c r="D910">
        <v>697</v>
      </c>
      <c r="E910">
        <v>-0.05</v>
      </c>
    </row>
    <row r="911" spans="1:5" x14ac:dyDescent="0.3">
      <c r="A911" s="27" t="s">
        <v>2275</v>
      </c>
      <c r="B911" s="27" t="s">
        <v>11</v>
      </c>
      <c r="C911">
        <v>99.85</v>
      </c>
      <c r="D911">
        <v>99.8</v>
      </c>
      <c r="E911">
        <v>-0.05</v>
      </c>
    </row>
    <row r="912" spans="1:5" x14ac:dyDescent="0.3">
      <c r="A912" s="27" t="s">
        <v>3278</v>
      </c>
      <c r="B912" s="27" t="s">
        <v>10</v>
      </c>
      <c r="C912">
        <v>115.45</v>
      </c>
      <c r="D912">
        <v>115.4</v>
      </c>
      <c r="E912">
        <v>-0.04</v>
      </c>
    </row>
    <row r="913" spans="1:5" x14ac:dyDescent="0.3">
      <c r="A913" s="27" t="s">
        <v>3279</v>
      </c>
      <c r="B913" s="27" t="s">
        <v>33</v>
      </c>
      <c r="C913">
        <v>120</v>
      </c>
      <c r="D913">
        <v>119.95</v>
      </c>
      <c r="E913">
        <v>-0.04</v>
      </c>
    </row>
    <row r="914" spans="1:5" x14ac:dyDescent="0.3">
      <c r="A914" s="27" t="s">
        <v>3280</v>
      </c>
      <c r="B914" s="27" t="s">
        <v>11</v>
      </c>
      <c r="C914">
        <v>115.6</v>
      </c>
      <c r="D914">
        <v>115.55</v>
      </c>
      <c r="E914">
        <v>-0.04</v>
      </c>
    </row>
    <row r="915" spans="1:5" x14ac:dyDescent="0.3">
      <c r="A915" s="27" t="s">
        <v>3281</v>
      </c>
      <c r="B915" s="27" t="s">
        <v>33</v>
      </c>
      <c r="C915">
        <v>128.69999999999999</v>
      </c>
      <c r="D915">
        <v>128.65</v>
      </c>
      <c r="E915">
        <v>-0.04</v>
      </c>
    </row>
    <row r="916" spans="1:5" x14ac:dyDescent="0.3">
      <c r="A916" s="27" t="s">
        <v>3282</v>
      </c>
      <c r="B916" s="27" t="s">
        <v>11</v>
      </c>
      <c r="C916">
        <v>155.05000000000001</v>
      </c>
      <c r="D916">
        <v>155</v>
      </c>
      <c r="E916">
        <v>-0.03</v>
      </c>
    </row>
    <row r="917" spans="1:5" x14ac:dyDescent="0.3">
      <c r="A917" s="27" t="s">
        <v>3283</v>
      </c>
      <c r="B917" s="27" t="s">
        <v>10</v>
      </c>
      <c r="C917">
        <v>331.15</v>
      </c>
      <c r="D917">
        <v>331.1</v>
      </c>
      <c r="E917">
        <v>-0.02</v>
      </c>
    </row>
    <row r="918" spans="1:5" x14ac:dyDescent="0.3">
      <c r="A918" s="27" t="s">
        <v>3284</v>
      </c>
      <c r="B918" s="27" t="s">
        <v>33</v>
      </c>
      <c r="C918">
        <v>425.1</v>
      </c>
      <c r="D918">
        <v>425</v>
      </c>
      <c r="E918">
        <v>-0.02</v>
      </c>
    </row>
    <row r="919" spans="1:5" x14ac:dyDescent="0.3">
      <c r="A919" s="27" t="s">
        <v>3285</v>
      </c>
      <c r="B919" s="27" t="s">
        <v>29</v>
      </c>
      <c r="C919">
        <v>250</v>
      </c>
      <c r="D919">
        <v>249.95</v>
      </c>
      <c r="E919">
        <v>-0.02</v>
      </c>
    </row>
    <row r="920" spans="1:5" x14ac:dyDescent="0.3">
      <c r="A920" s="27" t="s">
        <v>3286</v>
      </c>
      <c r="B920" s="27" t="s">
        <v>10</v>
      </c>
      <c r="C920">
        <v>629.79999999999995</v>
      </c>
      <c r="D920">
        <v>629.70000000000005</v>
      </c>
      <c r="E920">
        <v>-0.02</v>
      </c>
    </row>
    <row r="921" spans="1:5" x14ac:dyDescent="0.3">
      <c r="A921" s="27" t="s">
        <v>3287</v>
      </c>
      <c r="B921" s="27" t="s">
        <v>11</v>
      </c>
      <c r="C921">
        <v>528.65</v>
      </c>
      <c r="D921">
        <v>528.6</v>
      </c>
      <c r="E921">
        <v>-0.01</v>
      </c>
    </row>
    <row r="922" spans="1:5" x14ac:dyDescent="0.3">
      <c r="A922" s="27" t="s">
        <v>3288</v>
      </c>
      <c r="B922" s="27" t="s">
        <v>10</v>
      </c>
      <c r="C922">
        <v>352.95</v>
      </c>
      <c r="D922">
        <v>352.9</v>
      </c>
      <c r="E922">
        <v>-0.01</v>
      </c>
    </row>
    <row r="923" spans="1:5" x14ac:dyDescent="0.3">
      <c r="A923" s="27" t="s">
        <v>2389</v>
      </c>
      <c r="B923" s="27" t="s">
        <v>10</v>
      </c>
      <c r="C923">
        <v>333.35</v>
      </c>
      <c r="D923">
        <v>333.3</v>
      </c>
      <c r="E923">
        <v>-0.01</v>
      </c>
    </row>
    <row r="924" spans="1:5" x14ac:dyDescent="0.3">
      <c r="A924" s="27" t="s">
        <v>3289</v>
      </c>
      <c r="B924" s="27" t="s">
        <v>10</v>
      </c>
      <c r="C924">
        <v>1459.05</v>
      </c>
      <c r="D924">
        <v>1459</v>
      </c>
      <c r="E924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6E4B7-B723-474F-991F-9E4513178286}">
  <dimension ref="A1"/>
  <sheetViews>
    <sheetView zoomScale="160" zoomScaleNormal="160" workbookViewId="0"/>
  </sheetViews>
  <sheetFormatPr defaultRowHeight="15.6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FE3C64-ECA3-43B7-BE9B-3B36984D35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Sheet1</vt:lpstr>
      <vt:lpstr>Sheet2</vt:lpstr>
      <vt:lpstr>Date &amp; Time</vt:lpstr>
      <vt:lpstr>Calendar</vt:lpstr>
      <vt:lpstr>Text Functions</vt:lpstr>
      <vt:lpstr>Text &amp; Date &amp; Time</vt:lpstr>
      <vt:lpstr>Gainers</vt:lpstr>
      <vt:lpstr>Losers</vt:lpstr>
      <vt:lpstr>Sheet3</vt:lpstr>
      <vt:lpstr>'Text &amp; Date &amp; Time'!Print_Area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</dc:creator>
  <cp:lastModifiedBy>Rahul</cp:lastModifiedBy>
  <cp:lastPrinted>2021-02-04T05:24:12Z</cp:lastPrinted>
  <dcterms:created xsi:type="dcterms:W3CDTF">2021-02-02T05:24:56Z</dcterms:created>
  <dcterms:modified xsi:type="dcterms:W3CDTF">2021-02-04T06:53:25Z</dcterms:modified>
</cp:coreProperties>
</file>